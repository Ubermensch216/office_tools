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merger_ExcelFiles\"/>
    </mc:Choice>
  </mc:AlternateContent>
  <xr:revisionPtr revIDLastSave="0" documentId="13_ncr:1_{3C4CC57B-DAD7-4665-A4C5-6C9A9F25675A}" xr6:coauthVersionLast="36" xr6:coauthVersionMax="47" xr10:uidLastSave="{00000000-0000-0000-0000-000000000000}"/>
  <bookViews>
    <workbookView xWindow="4185" yWindow="-16320" windowWidth="29040" windowHeight="15840" tabRatio="862" firstSheet="1" activeTab="1" xr2:uid="{00000000-000D-0000-FFFF-FFFF00000000}"/>
  </bookViews>
  <sheets>
    <sheet name="보조금 작성방법" sheetId="18" r:id="rId1"/>
    <sheet name="복지정책과" sheetId="31" r:id="rId2"/>
  </sheets>
  <definedNames>
    <definedName name="_xlnm._FilterDatabase" localSheetId="1" hidden="1">복지정책과!$A$5:$B$514</definedName>
    <definedName name="_xlnm.Print_Titles" localSheetId="1">복지정책과!$3:$6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11" i="31" l="1"/>
  <c r="K511" i="31"/>
  <c r="I511" i="31"/>
  <c r="M507" i="31"/>
  <c r="K507" i="31"/>
  <c r="I507" i="31"/>
  <c r="M375" i="31"/>
  <c r="K375" i="31"/>
  <c r="I375" i="31"/>
  <c r="M371" i="31"/>
  <c r="K371" i="31"/>
  <c r="I371" i="31"/>
  <c r="M367" i="31"/>
  <c r="K367" i="31"/>
  <c r="I367" i="31"/>
  <c r="M363" i="31"/>
  <c r="K363" i="31"/>
  <c r="I363" i="31"/>
  <c r="M359" i="31"/>
  <c r="K359" i="31"/>
  <c r="I359" i="31"/>
  <c r="M355" i="31"/>
  <c r="K355" i="31"/>
  <c r="I355" i="31"/>
  <c r="M351" i="31"/>
  <c r="K351" i="31"/>
  <c r="I351" i="31"/>
  <c r="M347" i="31"/>
  <c r="K347" i="31"/>
  <c r="I347" i="31"/>
  <c r="M343" i="31"/>
  <c r="K343" i="31"/>
  <c r="I343" i="31"/>
  <c r="M339" i="31"/>
  <c r="K339" i="31"/>
  <c r="I339" i="31"/>
  <c r="M335" i="31"/>
  <c r="K335" i="31"/>
  <c r="I335" i="31"/>
  <c r="M331" i="31"/>
  <c r="K331" i="31"/>
  <c r="I331" i="31"/>
  <c r="M327" i="31"/>
  <c r="M323" i="31"/>
  <c r="M319" i="31"/>
  <c r="M315" i="31"/>
  <c r="M311" i="31"/>
  <c r="M307" i="31"/>
  <c r="M303" i="31"/>
  <c r="M299" i="31"/>
  <c r="M295" i="31"/>
  <c r="M291" i="31"/>
  <c r="M287" i="31"/>
  <c r="M283" i="31"/>
  <c r="M279" i="31"/>
  <c r="M275" i="31"/>
  <c r="M271" i="31"/>
  <c r="M267" i="31"/>
  <c r="M263" i="31"/>
  <c r="M259" i="31"/>
  <c r="M255" i="31"/>
  <c r="M251" i="31"/>
  <c r="M247" i="31"/>
  <c r="M243" i="31"/>
  <c r="M239" i="31"/>
  <c r="M235" i="31"/>
  <c r="M231" i="31"/>
  <c r="M227" i="31"/>
  <c r="M223" i="31"/>
  <c r="M219" i="31"/>
  <c r="M215" i="31"/>
  <c r="M211" i="31"/>
  <c r="M207" i="31"/>
  <c r="M203" i="31"/>
  <c r="M199" i="31"/>
  <c r="M195" i="31"/>
  <c r="K195" i="31"/>
  <c r="I195" i="31"/>
  <c r="I380" i="31"/>
  <c r="K380" i="31"/>
  <c r="M380" i="31"/>
  <c r="I381" i="31"/>
  <c r="K381" i="31"/>
  <c r="M381" i="31"/>
  <c r="I382" i="31"/>
  <c r="K382" i="31"/>
  <c r="M382" i="31"/>
  <c r="I379" i="31" l="1"/>
  <c r="M379" i="31"/>
  <c r="K379" i="31"/>
  <c r="M99" i="31"/>
  <c r="K99" i="31"/>
  <c r="I99" i="31"/>
  <c r="M95" i="31"/>
  <c r="K95" i="31"/>
  <c r="I95" i="31"/>
  <c r="I91" i="31"/>
  <c r="K91" i="31"/>
  <c r="M91" i="31"/>
  <c r="M490" i="31" l="1"/>
  <c r="M489" i="31"/>
  <c r="M488" i="31"/>
  <c r="K490" i="31"/>
  <c r="K489" i="31"/>
  <c r="K488" i="31"/>
  <c r="I490" i="31"/>
  <c r="I489" i="31"/>
  <c r="I488" i="31"/>
  <c r="M166" i="31"/>
  <c r="M165" i="31"/>
  <c r="M164" i="31"/>
  <c r="K166" i="31"/>
  <c r="K165" i="31"/>
  <c r="K164" i="31"/>
  <c r="I166" i="31"/>
  <c r="I165" i="31"/>
  <c r="I164" i="31"/>
  <c r="M14" i="31"/>
  <c r="M13" i="31"/>
  <c r="M12" i="31"/>
  <c r="K14" i="31"/>
  <c r="K13" i="31"/>
  <c r="K12" i="31"/>
  <c r="I14" i="31"/>
  <c r="I13" i="31"/>
  <c r="I12" i="31"/>
  <c r="O510" i="31"/>
  <c r="O509" i="31"/>
  <c r="O508" i="31"/>
  <c r="G507" i="31"/>
  <c r="O506" i="31"/>
  <c r="O505" i="31"/>
  <c r="O504" i="31"/>
  <c r="G503" i="31"/>
  <c r="O502" i="31"/>
  <c r="O501" i="31"/>
  <c r="O500" i="31"/>
  <c r="M499" i="31"/>
  <c r="K499" i="31"/>
  <c r="I499" i="31"/>
  <c r="G499" i="31"/>
  <c r="G382" i="31"/>
  <c r="G381" i="31"/>
  <c r="G380" i="31"/>
  <c r="O478" i="31"/>
  <c r="O477" i="31"/>
  <c r="O476" i="31"/>
  <c r="O475" i="31" s="1"/>
  <c r="M475" i="31"/>
  <c r="K475" i="31"/>
  <c r="I475" i="31"/>
  <c r="G475" i="31"/>
  <c r="O482" i="31"/>
  <c r="O481" i="31"/>
  <c r="O480" i="31"/>
  <c r="M479" i="31"/>
  <c r="K479" i="31"/>
  <c r="I479" i="31"/>
  <c r="G479" i="31"/>
  <c r="O486" i="31"/>
  <c r="O485" i="31"/>
  <c r="O484" i="31"/>
  <c r="M483" i="31"/>
  <c r="K483" i="31"/>
  <c r="I483" i="31"/>
  <c r="G483" i="31"/>
  <c r="O474" i="31"/>
  <c r="O473" i="31"/>
  <c r="O472" i="31"/>
  <c r="M471" i="31"/>
  <c r="K471" i="31"/>
  <c r="I471" i="31"/>
  <c r="G471" i="31"/>
  <c r="O470" i="31"/>
  <c r="O469" i="31"/>
  <c r="O468" i="31"/>
  <c r="M467" i="31"/>
  <c r="K467" i="31"/>
  <c r="I467" i="31"/>
  <c r="G467" i="31"/>
  <c r="O466" i="31"/>
  <c r="O465" i="31"/>
  <c r="O464" i="31"/>
  <c r="M463" i="31"/>
  <c r="K463" i="31"/>
  <c r="I463" i="31"/>
  <c r="G463" i="31"/>
  <c r="O462" i="31"/>
  <c r="O461" i="31"/>
  <c r="O460" i="31"/>
  <c r="M459" i="31"/>
  <c r="K459" i="31"/>
  <c r="I459" i="31"/>
  <c r="G459" i="31"/>
  <c r="O458" i="31"/>
  <c r="O457" i="31"/>
  <c r="O456" i="31"/>
  <c r="M455" i="31"/>
  <c r="K455" i="31"/>
  <c r="I455" i="31"/>
  <c r="G455" i="31"/>
  <c r="O454" i="31"/>
  <c r="O453" i="31"/>
  <c r="O452" i="31"/>
  <c r="M451" i="31"/>
  <c r="K451" i="31"/>
  <c r="I451" i="31"/>
  <c r="G451" i="31"/>
  <c r="O450" i="31"/>
  <c r="O449" i="31"/>
  <c r="O448" i="31"/>
  <c r="M447" i="31"/>
  <c r="K447" i="31"/>
  <c r="I447" i="31"/>
  <c r="G447" i="31"/>
  <c r="O446" i="31"/>
  <c r="O445" i="31"/>
  <c r="O444" i="31"/>
  <c r="M443" i="31"/>
  <c r="K443" i="31"/>
  <c r="I443" i="31"/>
  <c r="G443" i="31"/>
  <c r="G411" i="31"/>
  <c r="G166" i="31"/>
  <c r="G165" i="31"/>
  <c r="G164" i="31"/>
  <c r="M487" i="31" l="1"/>
  <c r="O483" i="31"/>
  <c r="K487" i="31"/>
  <c r="K163" i="31"/>
  <c r="K11" i="31"/>
  <c r="M163" i="31"/>
  <c r="I163" i="31"/>
  <c r="O455" i="31"/>
  <c r="O471" i="31"/>
  <c r="O507" i="31"/>
  <c r="M11" i="31"/>
  <c r="I11" i="31"/>
  <c r="K10" i="31"/>
  <c r="O467" i="31"/>
  <c r="O451" i="31"/>
  <c r="O463" i="31"/>
  <c r="O479" i="31"/>
  <c r="O499" i="31"/>
  <c r="K9" i="31"/>
  <c r="I487" i="31"/>
  <c r="K8" i="31"/>
  <c r="I9" i="31"/>
  <c r="M9" i="31"/>
  <c r="M10" i="31"/>
  <c r="I10" i="31"/>
  <c r="M8" i="31"/>
  <c r="I8" i="31"/>
  <c r="O447" i="31"/>
  <c r="O459" i="31"/>
  <c r="O443" i="31"/>
  <c r="O503" i="31"/>
  <c r="O378" i="31"/>
  <c r="O377" i="31"/>
  <c r="O376" i="31"/>
  <c r="G375" i="31"/>
  <c r="O374" i="31"/>
  <c r="O373" i="31"/>
  <c r="O372" i="31"/>
  <c r="G371" i="31"/>
  <c r="O370" i="31"/>
  <c r="O369" i="31"/>
  <c r="O368" i="31"/>
  <c r="G367" i="31"/>
  <c r="O366" i="31"/>
  <c r="O365" i="31"/>
  <c r="O364" i="31"/>
  <c r="G363" i="31"/>
  <c r="O362" i="31"/>
  <c r="O361" i="31"/>
  <c r="O360" i="31"/>
  <c r="G359" i="31"/>
  <c r="G267" i="31"/>
  <c r="O230" i="31"/>
  <c r="O229" i="31"/>
  <c r="O228" i="31"/>
  <c r="G227" i="31"/>
  <c r="O234" i="31"/>
  <c r="O233" i="31"/>
  <c r="O232" i="31"/>
  <c r="G231" i="31"/>
  <c r="O238" i="31"/>
  <c r="O237" i="31"/>
  <c r="O236" i="31"/>
  <c r="G235" i="31"/>
  <c r="O194" i="31"/>
  <c r="O193" i="31"/>
  <c r="O192" i="31"/>
  <c r="M191" i="31"/>
  <c r="K191" i="31"/>
  <c r="I191" i="31"/>
  <c r="G191" i="31"/>
  <c r="G14" i="31"/>
  <c r="G13" i="31"/>
  <c r="G12" i="31"/>
  <c r="O158" i="31"/>
  <c r="O157" i="31"/>
  <c r="O156" i="31"/>
  <c r="M155" i="31"/>
  <c r="K155" i="31"/>
  <c r="I155" i="31"/>
  <c r="G155" i="31"/>
  <c r="O134" i="31"/>
  <c r="O133" i="31"/>
  <c r="O132" i="31"/>
  <c r="M131" i="31"/>
  <c r="K131" i="31"/>
  <c r="I131" i="31"/>
  <c r="G131" i="31"/>
  <c r="O130" i="31"/>
  <c r="O129" i="31"/>
  <c r="O128" i="31"/>
  <c r="M127" i="31"/>
  <c r="K127" i="31"/>
  <c r="I127" i="31"/>
  <c r="G127" i="31"/>
  <c r="O126" i="31"/>
  <c r="O125" i="31"/>
  <c r="O124" i="31"/>
  <c r="M123" i="31"/>
  <c r="K123" i="31"/>
  <c r="I123" i="31"/>
  <c r="G123" i="31"/>
  <c r="O122" i="31"/>
  <c r="O121" i="31"/>
  <c r="O120" i="31"/>
  <c r="M119" i="31"/>
  <c r="K119" i="31"/>
  <c r="I119" i="31"/>
  <c r="G119" i="31"/>
  <c r="O118" i="31"/>
  <c r="O117" i="31"/>
  <c r="O116" i="31"/>
  <c r="M115" i="31"/>
  <c r="K115" i="31"/>
  <c r="I115" i="31"/>
  <c r="G115" i="31"/>
  <c r="O114" i="31"/>
  <c r="O113" i="31"/>
  <c r="O112" i="31"/>
  <c r="M111" i="31"/>
  <c r="K111" i="31"/>
  <c r="I111" i="31"/>
  <c r="G111" i="31"/>
  <c r="O110" i="31"/>
  <c r="O109" i="31"/>
  <c r="O108" i="31"/>
  <c r="M107" i="31"/>
  <c r="K107" i="31"/>
  <c r="I107" i="31"/>
  <c r="G107" i="31"/>
  <c r="O106" i="31"/>
  <c r="O105" i="31"/>
  <c r="O104" i="31"/>
  <c r="M103" i="31"/>
  <c r="K103" i="31"/>
  <c r="I103" i="31"/>
  <c r="G103" i="31"/>
  <c r="O102" i="31"/>
  <c r="O101" i="31"/>
  <c r="O100" i="31"/>
  <c r="G99" i="31"/>
  <c r="O98" i="31"/>
  <c r="O97" i="31"/>
  <c r="O96" i="31"/>
  <c r="G95" i="31"/>
  <c r="O82" i="31"/>
  <c r="O81" i="31"/>
  <c r="O80" i="31"/>
  <c r="M79" i="31"/>
  <c r="K79" i="31"/>
  <c r="I79" i="31"/>
  <c r="G79" i="31"/>
  <c r="O78" i="31"/>
  <c r="O77" i="31"/>
  <c r="O76" i="31"/>
  <c r="M75" i="31"/>
  <c r="K75" i="31"/>
  <c r="I75" i="31"/>
  <c r="G75" i="31"/>
  <c r="O74" i="31"/>
  <c r="O73" i="31"/>
  <c r="O72" i="31"/>
  <c r="M71" i="31"/>
  <c r="K71" i="31"/>
  <c r="I71" i="31"/>
  <c r="G71" i="31"/>
  <c r="O30" i="31"/>
  <c r="O29" i="31"/>
  <c r="O28" i="31"/>
  <c r="M27" i="31"/>
  <c r="K27" i="31"/>
  <c r="I27" i="31"/>
  <c r="G27" i="31"/>
  <c r="O26" i="31"/>
  <c r="O25" i="31"/>
  <c r="O24" i="31"/>
  <c r="M23" i="31"/>
  <c r="K23" i="31"/>
  <c r="I23" i="31"/>
  <c r="G23" i="31"/>
  <c r="O22" i="31"/>
  <c r="O21" i="31"/>
  <c r="O20" i="31"/>
  <c r="M19" i="31"/>
  <c r="K19" i="31"/>
  <c r="I19" i="31"/>
  <c r="G19" i="31"/>
  <c r="O18" i="31"/>
  <c r="O17" i="31"/>
  <c r="O16" i="31"/>
  <c r="M15" i="31"/>
  <c r="K15" i="31"/>
  <c r="I15" i="31"/>
  <c r="G15" i="31"/>
  <c r="O103" i="31" l="1"/>
  <c r="O79" i="31"/>
  <c r="O115" i="31"/>
  <c r="O75" i="31"/>
  <c r="O111" i="31"/>
  <c r="O71" i="31"/>
  <c r="O367" i="31"/>
  <c r="O95" i="31"/>
  <c r="O99" i="31"/>
  <c r="K7" i="31"/>
  <c r="O227" i="31"/>
  <c r="O359" i="31"/>
  <c r="O107" i="31"/>
  <c r="O119" i="31"/>
  <c r="O371" i="31"/>
  <c r="M7" i="31"/>
  <c r="I7" i="31"/>
  <c r="O375" i="31"/>
  <c r="O363" i="31"/>
  <c r="O123" i="31"/>
  <c r="O231" i="31"/>
  <c r="O235" i="31"/>
  <c r="O27" i="31"/>
  <c r="O127" i="31"/>
  <c r="O191" i="31"/>
  <c r="O155" i="31"/>
  <c r="O19" i="31"/>
  <c r="O131" i="31"/>
  <c r="O23" i="31"/>
  <c r="O15" i="31"/>
  <c r="K439" i="31"/>
  <c r="G283" i="31"/>
  <c r="K59" i="31"/>
  <c r="M495" i="31" l="1"/>
  <c r="K495" i="31"/>
  <c r="I495" i="31"/>
  <c r="M491" i="31"/>
  <c r="K491" i="31"/>
  <c r="I491" i="31"/>
  <c r="M439" i="31"/>
  <c r="I439" i="31"/>
  <c r="M435" i="31"/>
  <c r="K435" i="31"/>
  <c r="I435" i="31"/>
  <c r="M431" i="31"/>
  <c r="K431" i="31"/>
  <c r="I431" i="31"/>
  <c r="M427" i="31"/>
  <c r="K427" i="31"/>
  <c r="I427" i="31"/>
  <c r="M423" i="31"/>
  <c r="K423" i="31"/>
  <c r="I423" i="31"/>
  <c r="M419" i="31"/>
  <c r="K419" i="31"/>
  <c r="I419" i="31"/>
  <c r="M415" i="31"/>
  <c r="K415" i="31"/>
  <c r="I415" i="31"/>
  <c r="M411" i="31"/>
  <c r="K411" i="31"/>
  <c r="I411" i="31"/>
  <c r="M407" i="31"/>
  <c r="K407" i="31"/>
  <c r="I407" i="31"/>
  <c r="M403" i="31"/>
  <c r="K403" i="31"/>
  <c r="I403" i="31"/>
  <c r="M399" i="31"/>
  <c r="K399" i="31"/>
  <c r="I399" i="31"/>
  <c r="M395" i="31"/>
  <c r="K395" i="31"/>
  <c r="I395" i="31"/>
  <c r="M391" i="31"/>
  <c r="K391" i="31"/>
  <c r="I391" i="31"/>
  <c r="M387" i="31"/>
  <c r="K387" i="31"/>
  <c r="I387" i="31"/>
  <c r="M383" i="31"/>
  <c r="K383" i="31"/>
  <c r="I383" i="31"/>
  <c r="M187" i="31"/>
  <c r="K187" i="31"/>
  <c r="I187" i="31"/>
  <c r="M183" i="31"/>
  <c r="K183" i="31"/>
  <c r="I183" i="31"/>
  <c r="M179" i="31"/>
  <c r="K179" i="31"/>
  <c r="I179" i="31"/>
  <c r="M175" i="31"/>
  <c r="K175" i="31"/>
  <c r="I175" i="31"/>
  <c r="M171" i="31"/>
  <c r="K171" i="31"/>
  <c r="I171" i="31"/>
  <c r="M167" i="31"/>
  <c r="K167" i="31"/>
  <c r="I167" i="31"/>
  <c r="M159" i="31"/>
  <c r="K159" i="31"/>
  <c r="I159" i="31"/>
  <c r="M151" i="31"/>
  <c r="K151" i="31"/>
  <c r="I151" i="31"/>
  <c r="M147" i="31"/>
  <c r="K147" i="31"/>
  <c r="I147" i="31"/>
  <c r="M143" i="31"/>
  <c r="K143" i="31"/>
  <c r="I143" i="31"/>
  <c r="M139" i="31"/>
  <c r="K139" i="31"/>
  <c r="I139" i="31"/>
  <c r="M135" i="31"/>
  <c r="K135" i="31"/>
  <c r="I135" i="31"/>
  <c r="M87" i="31"/>
  <c r="K87" i="31"/>
  <c r="I87" i="31"/>
  <c r="M83" i="31"/>
  <c r="K83" i="31"/>
  <c r="I83" i="31"/>
  <c r="M67" i="31"/>
  <c r="K67" i="31"/>
  <c r="I67" i="31"/>
  <c r="M63" i="31"/>
  <c r="K63" i="31"/>
  <c r="I63" i="31"/>
  <c r="M59" i="31"/>
  <c r="I59" i="31"/>
  <c r="M55" i="31"/>
  <c r="K55" i="31"/>
  <c r="I55" i="31"/>
  <c r="M51" i="31"/>
  <c r="K51" i="31"/>
  <c r="I51" i="31"/>
  <c r="M47" i="31"/>
  <c r="K47" i="31"/>
  <c r="I47" i="31"/>
  <c r="M43" i="31"/>
  <c r="K43" i="31"/>
  <c r="I43" i="31"/>
  <c r="M39" i="31"/>
  <c r="K39" i="31"/>
  <c r="I39" i="31"/>
  <c r="M35" i="31"/>
  <c r="K35" i="31"/>
  <c r="I35" i="31"/>
  <c r="M31" i="31"/>
  <c r="K31" i="31"/>
  <c r="I31" i="31"/>
  <c r="O514" i="31" l="1"/>
  <c r="O513" i="31"/>
  <c r="O512" i="31"/>
  <c r="G511" i="31"/>
  <c r="O498" i="31"/>
  <c r="O497" i="31"/>
  <c r="O496" i="31"/>
  <c r="G495" i="31"/>
  <c r="O494" i="31"/>
  <c r="O490" i="31" s="1"/>
  <c r="O493" i="31"/>
  <c r="O492" i="31"/>
  <c r="G491" i="31"/>
  <c r="G490" i="31"/>
  <c r="E490" i="31"/>
  <c r="G489" i="31"/>
  <c r="E489" i="31"/>
  <c r="G488" i="31"/>
  <c r="E488" i="31"/>
  <c r="E487" i="31"/>
  <c r="O442" i="31"/>
  <c r="O441" i="31"/>
  <c r="O440" i="31"/>
  <c r="G439" i="31"/>
  <c r="O438" i="31"/>
  <c r="O437" i="31"/>
  <c r="O436" i="31"/>
  <c r="G435" i="31"/>
  <c r="O434" i="31"/>
  <c r="O433" i="31"/>
  <c r="O432" i="31"/>
  <c r="G431" i="31"/>
  <c r="O430" i="31"/>
  <c r="O429" i="31"/>
  <c r="O428" i="31"/>
  <c r="G427" i="31"/>
  <c r="O426" i="31"/>
  <c r="O425" i="31"/>
  <c r="O424" i="31"/>
  <c r="G423" i="31"/>
  <c r="O422" i="31"/>
  <c r="O421" i="31"/>
  <c r="O420" i="31"/>
  <c r="G419" i="31"/>
  <c r="O418" i="31"/>
  <c r="O417" i="31"/>
  <c r="O416" i="31"/>
  <c r="G415" i="31"/>
  <c r="O414" i="31"/>
  <c r="O413" i="31"/>
  <c r="O412" i="31"/>
  <c r="O410" i="31"/>
  <c r="O409" i="31"/>
  <c r="O408" i="31"/>
  <c r="G407" i="31"/>
  <c r="O406" i="31"/>
  <c r="O405" i="31"/>
  <c r="O404" i="31"/>
  <c r="G403" i="31"/>
  <c r="O402" i="31"/>
  <c r="O401" i="31"/>
  <c r="O400" i="31"/>
  <c r="G399" i="31"/>
  <c r="O398" i="31"/>
  <c r="O397" i="31"/>
  <c r="O396" i="31"/>
  <c r="G395" i="31"/>
  <c r="O394" i="31"/>
  <c r="O393" i="31"/>
  <c r="O392" i="31"/>
  <c r="G391" i="31"/>
  <c r="O390" i="31"/>
  <c r="O389" i="31"/>
  <c r="O388" i="31"/>
  <c r="G387" i="31"/>
  <c r="O386" i="31"/>
  <c r="O385" i="31"/>
  <c r="O384" i="31"/>
  <c r="G383" i="31"/>
  <c r="E382" i="31"/>
  <c r="E381" i="31"/>
  <c r="E380" i="31"/>
  <c r="E379" i="31"/>
  <c r="O358" i="31"/>
  <c r="O357" i="31"/>
  <c r="O356" i="31"/>
  <c r="G355" i="31"/>
  <c r="O354" i="31"/>
  <c r="O353" i="31"/>
  <c r="O352" i="31"/>
  <c r="G351" i="31"/>
  <c r="O350" i="31"/>
  <c r="O349" i="31"/>
  <c r="O348" i="31"/>
  <c r="G347" i="31"/>
  <c r="O346" i="31"/>
  <c r="O345" i="31"/>
  <c r="O344" i="31"/>
  <c r="G343" i="31"/>
  <c r="O342" i="31"/>
  <c r="O341" i="31"/>
  <c r="O340" i="31"/>
  <c r="G339" i="31"/>
  <c r="O338" i="31"/>
  <c r="O337" i="31"/>
  <c r="O336" i="31"/>
  <c r="G335" i="31"/>
  <c r="O334" i="31"/>
  <c r="O333" i="31"/>
  <c r="O332" i="31"/>
  <c r="G331" i="31"/>
  <c r="O330" i="31"/>
  <c r="O329" i="31"/>
  <c r="O328" i="31"/>
  <c r="G327" i="31"/>
  <c r="O326" i="31"/>
  <c r="O325" i="31"/>
  <c r="O324" i="31"/>
  <c r="G323" i="31"/>
  <c r="O322" i="31"/>
  <c r="O321" i="31"/>
  <c r="O320" i="31"/>
  <c r="G319" i="31"/>
  <c r="O318" i="31"/>
  <c r="O317" i="31"/>
  <c r="O316" i="31"/>
  <c r="G315" i="31"/>
  <c r="O314" i="31"/>
  <c r="O313" i="31"/>
  <c r="O312" i="31"/>
  <c r="G311" i="31"/>
  <c r="O310" i="31"/>
  <c r="O309" i="31"/>
  <c r="O308" i="31"/>
  <c r="G307" i="31"/>
  <c r="O306" i="31"/>
  <c r="O305" i="31"/>
  <c r="O304" i="31"/>
  <c r="G303" i="31"/>
  <c r="O302" i="31"/>
  <c r="O301" i="31"/>
  <c r="O300" i="31"/>
  <c r="G299" i="31"/>
  <c r="O298" i="31"/>
  <c r="O297" i="31"/>
  <c r="O296" i="31"/>
  <c r="G295" i="31"/>
  <c r="O294" i="31"/>
  <c r="O293" i="31"/>
  <c r="O292" i="31"/>
  <c r="G291" i="31"/>
  <c r="O290" i="31"/>
  <c r="O289" i="31"/>
  <c r="O288" i="31"/>
  <c r="G287" i="31"/>
  <c r="O286" i="31"/>
  <c r="O285" i="31"/>
  <c r="O284" i="31"/>
  <c r="O282" i="31"/>
  <c r="O281" i="31"/>
  <c r="O280" i="31"/>
  <c r="G279" i="31"/>
  <c r="O278" i="31"/>
  <c r="O277" i="31"/>
  <c r="O276" i="31"/>
  <c r="G275" i="31"/>
  <c r="O274" i="31"/>
  <c r="O273" i="31"/>
  <c r="O272" i="31"/>
  <c r="G271" i="31"/>
  <c r="O270" i="31"/>
  <c r="O269" i="31"/>
  <c r="O268" i="31"/>
  <c r="O266" i="31"/>
  <c r="O265" i="31"/>
  <c r="O264" i="31"/>
  <c r="G263" i="31"/>
  <c r="O262" i="31"/>
  <c r="O261" i="31"/>
  <c r="O260" i="31"/>
  <c r="G259" i="31"/>
  <c r="O258" i="31"/>
  <c r="O257" i="31"/>
  <c r="O256" i="31"/>
  <c r="G255" i="31"/>
  <c r="O254" i="31"/>
  <c r="O253" i="31"/>
  <c r="O252" i="31"/>
  <c r="G251" i="31"/>
  <c r="O250" i="31"/>
  <c r="O249" i="31"/>
  <c r="O248" i="31"/>
  <c r="G247" i="31"/>
  <c r="O246" i="31"/>
  <c r="O245" i="31"/>
  <c r="O244" i="31"/>
  <c r="G243" i="31"/>
  <c r="O242" i="31"/>
  <c r="O241" i="31"/>
  <c r="O240" i="31"/>
  <c r="G239" i="31"/>
  <c r="O226" i="31"/>
  <c r="O225" i="31"/>
  <c r="O224" i="31"/>
  <c r="G223" i="31"/>
  <c r="O222" i="31"/>
  <c r="O221" i="31"/>
  <c r="O220" i="31"/>
  <c r="G219" i="31"/>
  <c r="O218" i="31"/>
  <c r="O217" i="31"/>
  <c r="O216" i="31"/>
  <c r="G215" i="31"/>
  <c r="O214" i="31"/>
  <c r="O213" i="31"/>
  <c r="O212" i="31"/>
  <c r="G211" i="31"/>
  <c r="O210" i="31"/>
  <c r="O209" i="31"/>
  <c r="O208" i="31"/>
  <c r="G207" i="31"/>
  <c r="O206" i="31"/>
  <c r="O205" i="31"/>
  <c r="O204" i="31"/>
  <c r="G203" i="31"/>
  <c r="O202" i="31"/>
  <c r="O201" i="31"/>
  <c r="O200" i="31"/>
  <c r="G199" i="31"/>
  <c r="O198" i="31"/>
  <c r="O197" i="31"/>
  <c r="O196" i="31"/>
  <c r="G195" i="31"/>
  <c r="O190" i="31"/>
  <c r="O189" i="31"/>
  <c r="O188" i="31"/>
  <c r="G187" i="31"/>
  <c r="O186" i="31"/>
  <c r="O185" i="31"/>
  <c r="O184" i="31"/>
  <c r="G183" i="31"/>
  <c r="O182" i="31"/>
  <c r="O181" i="31"/>
  <c r="O180" i="31"/>
  <c r="G179" i="31"/>
  <c r="O178" i="31"/>
  <c r="O177" i="31"/>
  <c r="O176" i="31"/>
  <c r="G175" i="31"/>
  <c r="O174" i="31"/>
  <c r="O173" i="31"/>
  <c r="O172" i="31"/>
  <c r="G171" i="31"/>
  <c r="O170" i="31"/>
  <c r="O169" i="31"/>
  <c r="O168" i="31"/>
  <c r="G167" i="31"/>
  <c r="E166" i="31"/>
  <c r="E165" i="31"/>
  <c r="E164" i="31"/>
  <c r="E163" i="31"/>
  <c r="O162" i="31"/>
  <c r="O161" i="31"/>
  <c r="O160" i="31"/>
  <c r="G159" i="31"/>
  <c r="O154" i="31"/>
  <c r="O153" i="31"/>
  <c r="O152" i="31"/>
  <c r="G151" i="31"/>
  <c r="O150" i="31"/>
  <c r="O149" i="31"/>
  <c r="O148" i="31"/>
  <c r="G147" i="31"/>
  <c r="O146" i="31"/>
  <c r="O145" i="31"/>
  <c r="O144" i="31"/>
  <c r="G143" i="31"/>
  <c r="O142" i="31"/>
  <c r="O141" i="31"/>
  <c r="O140" i="31"/>
  <c r="G139" i="31"/>
  <c r="O138" i="31"/>
  <c r="O137" i="31"/>
  <c r="O136" i="31"/>
  <c r="G135" i="31"/>
  <c r="O94" i="31"/>
  <c r="O93" i="31"/>
  <c r="O92" i="31"/>
  <c r="G91" i="31"/>
  <c r="O90" i="31"/>
  <c r="O89" i="31"/>
  <c r="O88" i="31"/>
  <c r="G87" i="31"/>
  <c r="O86" i="31"/>
  <c r="O85" i="31"/>
  <c r="O84" i="31"/>
  <c r="G83" i="31"/>
  <c r="O70" i="31"/>
  <c r="O69" i="31"/>
  <c r="O68" i="31"/>
  <c r="G67" i="31"/>
  <c r="O66" i="31"/>
  <c r="O65" i="31"/>
  <c r="O64" i="31"/>
  <c r="G63" i="31"/>
  <c r="O62" i="31"/>
  <c r="O61" i="31"/>
  <c r="O60" i="31"/>
  <c r="G59" i="31"/>
  <c r="O58" i="31"/>
  <c r="O57" i="31"/>
  <c r="O56" i="31"/>
  <c r="G55" i="31"/>
  <c r="O54" i="31"/>
  <c r="O53" i="31"/>
  <c r="O52" i="31"/>
  <c r="G51" i="31"/>
  <c r="O50" i="31"/>
  <c r="O49" i="31"/>
  <c r="O48" i="31"/>
  <c r="G47" i="31"/>
  <c r="O46" i="31"/>
  <c r="O45" i="31"/>
  <c r="O44" i="31"/>
  <c r="G43" i="31"/>
  <c r="O42" i="31"/>
  <c r="O41" i="31"/>
  <c r="O40" i="31"/>
  <c r="G39" i="31"/>
  <c r="O38" i="31"/>
  <c r="O37" i="31"/>
  <c r="O36" i="31"/>
  <c r="G35" i="31"/>
  <c r="O34" i="31"/>
  <c r="O14" i="31" s="1"/>
  <c r="O33" i="31"/>
  <c r="O32" i="31"/>
  <c r="G31" i="31"/>
  <c r="E14" i="31"/>
  <c r="E13" i="31"/>
  <c r="E12" i="31"/>
  <c r="E11" i="31"/>
  <c r="O12" i="31" l="1"/>
  <c r="O488" i="31"/>
  <c r="O13" i="31"/>
  <c r="O489" i="31"/>
  <c r="O487" i="31" s="1"/>
  <c r="O380" i="31"/>
  <c r="O382" i="31"/>
  <c r="E9" i="31"/>
  <c r="O166" i="31"/>
  <c r="O10" i="31" s="1"/>
  <c r="O165" i="31"/>
  <c r="O164" i="31"/>
  <c r="O381" i="31"/>
  <c r="G379" i="31"/>
  <c r="O67" i="31"/>
  <c r="O83" i="31"/>
  <c r="O147" i="31"/>
  <c r="E8" i="31"/>
  <c r="E7" i="31"/>
  <c r="O383" i="31"/>
  <c r="O431" i="31"/>
  <c r="E10" i="31"/>
  <c r="O207" i="31"/>
  <c r="O211" i="31"/>
  <c r="O215" i="31"/>
  <c r="O223" i="31"/>
  <c r="O255" i="31"/>
  <c r="O295" i="31"/>
  <c r="O307" i="31"/>
  <c r="O311" i="31"/>
  <c r="O315" i="31"/>
  <c r="O331" i="31"/>
  <c r="O343" i="31"/>
  <c r="O247" i="31"/>
  <c r="O259" i="31"/>
  <c r="O263" i="31"/>
  <c r="O267" i="31"/>
  <c r="O271" i="31"/>
  <c r="O275" i="31"/>
  <c r="O279" i="31"/>
  <c r="O51" i="31"/>
  <c r="O55" i="31"/>
  <c r="O87" i="31"/>
  <c r="O91" i="31"/>
  <c r="O143" i="31"/>
  <c r="O423" i="31"/>
  <c r="O239" i="31"/>
  <c r="O291" i="31"/>
  <c r="O299" i="31"/>
  <c r="O303" i="31"/>
  <c r="O319" i="31"/>
  <c r="G487" i="31"/>
  <c r="O195" i="31"/>
  <c r="O199" i="31"/>
  <c r="O203" i="31"/>
  <c r="O219" i="31"/>
  <c r="O243" i="31"/>
  <c r="O251" i="31"/>
  <c r="O283" i="31"/>
  <c r="O287" i="31"/>
  <c r="O323" i="31"/>
  <c r="O327" i="31"/>
  <c r="O335" i="31"/>
  <c r="O339" i="31"/>
  <c r="O347" i="31"/>
  <c r="O351" i="31"/>
  <c r="O355" i="31"/>
  <c r="O387" i="31"/>
  <c r="O391" i="31"/>
  <c r="O395" i="31"/>
  <c r="O399" i="31"/>
  <c r="O403" i="31"/>
  <c r="O407" i="31"/>
  <c r="O411" i="31"/>
  <c r="O415" i="31"/>
  <c r="O419" i="31"/>
  <c r="O427" i="31"/>
  <c r="O435" i="31"/>
  <c r="O511" i="31"/>
  <c r="O495" i="31"/>
  <c r="O491" i="31"/>
  <c r="O439" i="31"/>
  <c r="O187" i="31"/>
  <c r="O183" i="31"/>
  <c r="O179" i="31"/>
  <c r="G163" i="31"/>
  <c r="O171" i="31"/>
  <c r="O175" i="31"/>
  <c r="O167" i="31"/>
  <c r="G10" i="31"/>
  <c r="G9" i="31"/>
  <c r="O151" i="31"/>
  <c r="O159" i="31"/>
  <c r="O139" i="31"/>
  <c r="O135" i="31"/>
  <c r="O63" i="31"/>
  <c r="G11" i="31"/>
  <c r="O59" i="31"/>
  <c r="O47" i="31"/>
  <c r="O43" i="31"/>
  <c r="O39" i="31"/>
  <c r="O35" i="31"/>
  <c r="O31" i="31"/>
  <c r="G8" i="31"/>
  <c r="O11" i="31" l="1"/>
  <c r="O163" i="31"/>
  <c r="O9" i="31"/>
  <c r="O8" i="31"/>
  <c r="O379" i="31"/>
  <c r="G7" i="31"/>
  <c r="O7" i="31" l="1"/>
  <c r="J1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444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기금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<sst xmlns="http://schemas.openxmlformats.org/spreadsheetml/2006/main" count="3540" uniqueCount="215">
  <si>
    <t>총사업비(예산액)</t>
  </si>
  <si>
    <t>보조금수령액①</t>
  </si>
  <si>
    <t>집행액②</t>
  </si>
  <si>
    <t>이월액③</t>
  </si>
  <si>
    <t>계</t>
  </si>
  <si>
    <t>국비</t>
  </si>
  <si>
    <t>201-01</t>
  </si>
  <si>
    <t>사무관리비</t>
  </si>
  <si>
    <t>301-01</t>
  </si>
  <si>
    <t>사회보장적수혜금</t>
  </si>
  <si>
    <t>사회복지관 운영</t>
  </si>
  <si>
    <t>청소년 복지증진</t>
  </si>
  <si>
    <t>아동보호</t>
  </si>
  <si>
    <t>301-01</t>
    <phoneticPr fontId="2" type="noConversion"/>
  </si>
  <si>
    <t>사회보장적수혜금</t>
    <phoneticPr fontId="2" type="noConversion"/>
  </si>
  <si>
    <t>광특</t>
    <phoneticPr fontId="2" type="noConversion"/>
  </si>
  <si>
    <t>특별교부금</t>
    <phoneticPr fontId="2" type="noConversion"/>
  </si>
  <si>
    <t>시비</t>
  </si>
  <si>
    <t>구비</t>
  </si>
  <si>
    <t>인력운영비</t>
    <phoneticPr fontId="2" type="noConversion"/>
  </si>
  <si>
    <t>101-03</t>
    <phoneticPr fontId="2" type="noConversion"/>
  </si>
  <si>
    <t>(11) 보조금 집행현황</t>
    <phoneticPr fontId="2" type="noConversion"/>
  </si>
  <si>
    <t>201-02</t>
    <phoneticPr fontId="2" type="noConversion"/>
  </si>
  <si>
    <t>공공운영비</t>
    <phoneticPr fontId="2" type="noConversion"/>
  </si>
  <si>
    <t>201-01</t>
    <phoneticPr fontId="2" type="noConversion"/>
  </si>
  <si>
    <t>사무관리비</t>
    <phoneticPr fontId="2" type="noConversion"/>
  </si>
  <si>
    <t>301-12</t>
    <phoneticPr fontId="2" type="noConversion"/>
  </si>
  <si>
    <t>기타보상금</t>
    <phoneticPr fontId="2" type="noConversion"/>
  </si>
  <si>
    <t>307-05</t>
    <phoneticPr fontId="2" type="noConversion"/>
  </si>
  <si>
    <t>민간위탁금</t>
    <phoneticPr fontId="2" type="noConversion"/>
  </si>
  <si>
    <t>정책사업</t>
    <phoneticPr fontId="2" type="noConversion"/>
  </si>
  <si>
    <t>101-04</t>
    <phoneticPr fontId="2" type="noConversion"/>
  </si>
  <si>
    <t>기간제근로자등보수</t>
    <phoneticPr fontId="2" type="noConversion"/>
  </si>
  <si>
    <t>202-01</t>
    <phoneticPr fontId="2" type="noConversion"/>
  </si>
  <si>
    <t>국내여비</t>
    <phoneticPr fontId="2" type="noConversion"/>
  </si>
  <si>
    <t>일반회계 보조금집행현황(당해년도)</t>
    <phoneticPr fontId="2" type="noConversion"/>
  </si>
  <si>
    <r>
      <t>(</t>
    </r>
    <r>
      <rPr>
        <sz val="10"/>
        <rFont val="굴림"/>
        <family val="3"/>
      </rPr>
      <t>단위 : 원)</t>
    </r>
    <phoneticPr fontId="2" type="noConversion"/>
  </si>
  <si>
    <t>사업명</t>
    <phoneticPr fontId="2" type="noConversion"/>
  </si>
  <si>
    <t>참고자료</t>
    <phoneticPr fontId="2" type="noConversion"/>
  </si>
  <si>
    <t>집행잔액④=①-②-③</t>
    <phoneticPr fontId="2" type="noConversion"/>
  </si>
  <si>
    <t>단      위</t>
    <phoneticPr fontId="2" type="noConversion"/>
  </si>
  <si>
    <t>통계목</t>
    <phoneticPr fontId="2" type="noConversion"/>
  </si>
  <si>
    <t>세      부</t>
    <phoneticPr fontId="2" type="noConversion"/>
  </si>
  <si>
    <t>복지정책과</t>
    <phoneticPr fontId="2" type="noConversion"/>
  </si>
  <si>
    <t>특별교부금</t>
    <phoneticPr fontId="2" type="noConversion"/>
  </si>
  <si>
    <t>기금</t>
    <phoneticPr fontId="2" type="noConversion"/>
  </si>
  <si>
    <t>광특</t>
    <phoneticPr fontId="2" type="noConversion"/>
  </si>
  <si>
    <t>특별교부세</t>
    <phoneticPr fontId="2" type="noConversion"/>
  </si>
  <si>
    <t>복지정책강화</t>
    <phoneticPr fontId="2" type="noConversion"/>
  </si>
  <si>
    <t>지역사회 복지행정</t>
    <phoneticPr fontId="2" type="noConversion"/>
  </si>
  <si>
    <t>301-08</t>
    <phoneticPr fontId="2" type="noConversion"/>
  </si>
  <si>
    <t>사회복무요원보상금</t>
    <phoneticPr fontId="2" type="noConversion"/>
  </si>
  <si>
    <t>사회복무제도 지원</t>
    <phoneticPr fontId="2" type="noConversion"/>
  </si>
  <si>
    <t>301-01</t>
    <phoneticPr fontId="2" type="noConversion"/>
  </si>
  <si>
    <t>참전유공자 지원</t>
    <phoneticPr fontId="2" type="noConversion"/>
  </si>
  <si>
    <t>사회보장적수혜금</t>
    <phoneticPr fontId="2" type="noConversion"/>
  </si>
  <si>
    <t>국가유공자 지원</t>
    <phoneticPr fontId="2" type="noConversion"/>
  </si>
  <si>
    <t>저소득층 학생 교육비 신청 지원</t>
    <phoneticPr fontId="2" type="noConversion"/>
  </si>
  <si>
    <t>307-11</t>
    <phoneticPr fontId="2" type="noConversion"/>
  </si>
  <si>
    <t>사회복지사업보조</t>
    <phoneticPr fontId="2" type="noConversion"/>
  </si>
  <si>
    <t>지역사회 나눔추진</t>
    <phoneticPr fontId="2" type="noConversion"/>
  </si>
  <si>
    <t>긴급 복지지원</t>
    <phoneticPr fontId="2" type="noConversion"/>
  </si>
  <si>
    <t>기초푸드뱅크 운영</t>
    <phoneticPr fontId="2" type="noConversion"/>
  </si>
  <si>
    <t>기초푸드마켓운영</t>
    <phoneticPr fontId="2" type="noConversion"/>
  </si>
  <si>
    <t>구 통합사례관리 지원</t>
    <phoneticPr fontId="2" type="noConversion"/>
  </si>
  <si>
    <t>저소득층 미세먼지 마스크 보급</t>
    <phoneticPr fontId="2" type="noConversion"/>
  </si>
  <si>
    <t>아동복지 향상</t>
    <phoneticPr fontId="2" type="noConversion"/>
  </si>
  <si>
    <t>취약계층 아동통합서비스 지원</t>
    <phoneticPr fontId="2" type="noConversion"/>
  </si>
  <si>
    <t>203-03</t>
    <phoneticPr fontId="2" type="noConversion"/>
  </si>
  <si>
    <t>시책추진업무추진비</t>
    <phoneticPr fontId="2" type="noConversion"/>
  </si>
  <si>
    <t>평일방학중 아동급식지원</t>
    <phoneticPr fontId="2" type="noConversion"/>
  </si>
  <si>
    <t>토공휴일 아동급식지원</t>
    <phoneticPr fontId="2" type="noConversion"/>
  </si>
  <si>
    <t>보호종료아동 자립수당 지원</t>
    <phoneticPr fontId="2" type="noConversion"/>
  </si>
  <si>
    <t>307-10</t>
    <phoneticPr fontId="2" type="noConversion"/>
  </si>
  <si>
    <t>사회복지시설법정운영비보조</t>
    <phoneticPr fontId="2" type="noConversion"/>
  </si>
  <si>
    <t>301-10</t>
    <phoneticPr fontId="2" type="noConversion"/>
  </si>
  <si>
    <t>`</t>
    <phoneticPr fontId="2" type="noConversion"/>
  </si>
  <si>
    <t>청소년지원 및 보호</t>
    <phoneticPr fontId="2" type="noConversion"/>
  </si>
  <si>
    <t>청소년어울림마당 운영</t>
    <phoneticPr fontId="2" type="noConversion"/>
  </si>
  <si>
    <t>청소년 동아리 지원</t>
    <phoneticPr fontId="2" type="noConversion"/>
  </si>
  <si>
    <t>청소년지도사 배치지원</t>
    <phoneticPr fontId="2" type="noConversion"/>
  </si>
  <si>
    <t>지역사회 청소년안전망 선도사업</t>
    <phoneticPr fontId="2" type="noConversion"/>
  </si>
  <si>
    <t>행정운영경비</t>
    <phoneticPr fontId="2" type="noConversion"/>
  </si>
  <si>
    <t>인력운영비</t>
    <phoneticPr fontId="2" type="noConversion"/>
  </si>
  <si>
    <t>101-03</t>
    <phoneticPr fontId="2" type="noConversion"/>
  </si>
  <si>
    <t>통합사례관리사 인건비 지원</t>
    <phoneticPr fontId="2" type="noConversion"/>
  </si>
  <si>
    <t>무기계약자근로자보수</t>
    <phoneticPr fontId="2" type="noConversion"/>
  </si>
  <si>
    <r>
      <t xml:space="preserve">※ 보조금 작성방법 ▶ </t>
    </r>
    <r>
      <rPr>
        <b/>
        <sz val="12"/>
        <color theme="1"/>
        <rFont val="돋움"/>
        <family val="3"/>
        <charset val="129"/>
      </rPr>
      <t>이호조 집행내역(사업별예산집행현황-19072, 통계목별조회-63028)과 반드시 일치</t>
    </r>
    <r>
      <rPr>
        <sz val="12"/>
        <rFont val="돋움"/>
        <family val="3"/>
        <charset val="129"/>
      </rPr>
      <t xml:space="preserve">
 1. </t>
    </r>
    <r>
      <rPr>
        <b/>
        <sz val="12"/>
        <rFont val="돋움"/>
        <family val="3"/>
        <charset val="129"/>
      </rPr>
      <t>현재 자료는 예산서의 예산현액(간주포함)을 기준으로 부서별로 작성해 놓은 자료로 작성시 확인하시고 작성하시기 바랍니다. (누락사항 추가 입력)</t>
    </r>
    <r>
      <rPr>
        <sz val="12"/>
        <rFont val="돋움"/>
        <family val="3"/>
        <charset val="129"/>
      </rPr>
      <t xml:space="preserve">
 2. 보조금 작성은 사업별 보조금 </t>
    </r>
    <r>
      <rPr>
        <b/>
        <sz val="12"/>
        <rFont val="돋움"/>
        <family val="3"/>
        <charset val="129"/>
      </rPr>
      <t xml:space="preserve">수령액 </t>
    </r>
    <r>
      <rPr>
        <sz val="12"/>
        <rFont val="돋움"/>
        <family val="3"/>
        <charset val="129"/>
      </rPr>
      <t xml:space="preserve">기준으로 작성합니다. </t>
    </r>
    <r>
      <rPr>
        <b/>
        <u/>
        <sz val="12"/>
        <rFont val="돋움"/>
        <family val="3"/>
        <charset val="129"/>
      </rPr>
      <t xml:space="preserve">▶ </t>
    </r>
    <r>
      <rPr>
        <b/>
        <u/>
        <sz val="12"/>
        <color rgb="FF0066FF"/>
        <rFont val="돋움"/>
        <family val="3"/>
        <charset val="129"/>
      </rPr>
      <t xml:space="preserve"> </t>
    </r>
    <r>
      <rPr>
        <b/>
        <u/>
        <sz val="12"/>
        <color theme="1"/>
        <rFont val="돋움"/>
        <family val="3"/>
        <charset val="129"/>
      </rPr>
      <t>세무과 보조금 수령액과 일치</t>
    </r>
    <r>
      <rPr>
        <sz val="12"/>
        <rFont val="돋움"/>
        <family val="3"/>
        <charset val="129"/>
      </rPr>
      <t xml:space="preserve">
 3. 부서 결산(회계) 담당자는 각 사업별 </t>
    </r>
    <r>
      <rPr>
        <b/>
        <sz val="12"/>
        <rFont val="돋움"/>
        <family val="3"/>
        <charset val="129"/>
      </rPr>
      <t>보조금수령액, 보조금집행액, 보조금이월액, 보조금 집행잔액</t>
    </r>
    <r>
      <rPr>
        <sz val="12"/>
        <rFont val="돋움"/>
        <family val="3"/>
        <charset val="129"/>
      </rPr>
      <t xml:space="preserve">을 정확히 파악하여 작성합니다.
 4. </t>
    </r>
    <r>
      <rPr>
        <b/>
        <sz val="12"/>
        <rFont val="돋움"/>
        <family val="3"/>
        <charset val="129"/>
      </rPr>
      <t>집행액 작성시 국비, 시비를 적정 안분하여 작성하시고 이호조의 집행내역과 일치되게 작성하셔야 합니다. (합계금액 확인 필)</t>
    </r>
    <r>
      <rPr>
        <sz val="12"/>
        <rFont val="돋움"/>
        <family val="3"/>
        <charset val="129"/>
      </rPr>
      <t xml:space="preserve">
 5. </t>
    </r>
    <r>
      <rPr>
        <b/>
        <sz val="12"/>
        <rFont val="돋움"/>
        <family val="3"/>
        <charset val="129"/>
      </rPr>
      <t>보조금 수령액을 초과하여 집행한 사업 및 재원별 원단위가 있을시 지출재원변경</t>
    </r>
    <r>
      <rPr>
        <sz val="12"/>
        <rFont val="돋움"/>
        <family val="3"/>
        <charset val="129"/>
      </rPr>
      <t xml:space="preserve">(지출관리-지출품의-지출재원변경)을 하고 작성 바랍니다.
</t>
    </r>
    <phoneticPr fontId="2" type="noConversion"/>
  </si>
  <si>
    <t>307-05</t>
    <phoneticPr fontId="2" type="noConversion"/>
  </si>
  <si>
    <t>민간위탁금</t>
    <phoneticPr fontId="2" type="noConversion"/>
  </si>
  <si>
    <t>405-01</t>
    <phoneticPr fontId="2" type="noConversion"/>
  </si>
  <si>
    <t>자산및물품취득비</t>
    <phoneticPr fontId="2" type="noConversion"/>
  </si>
  <si>
    <t>301-09</t>
    <phoneticPr fontId="2" type="noConversion"/>
  </si>
  <si>
    <t>행사실비지원금</t>
    <phoneticPr fontId="2" type="noConversion"/>
  </si>
  <si>
    <t>201-01</t>
    <phoneticPr fontId="2" type="noConversion"/>
  </si>
  <si>
    <t>사무관리비</t>
    <phoneticPr fontId="2" type="noConversion"/>
  </si>
  <si>
    <t>시설비</t>
    <phoneticPr fontId="2" type="noConversion"/>
  </si>
  <si>
    <t>101-04</t>
    <phoneticPr fontId="2" type="noConversion"/>
  </si>
  <si>
    <t>301-01</t>
    <phoneticPr fontId="2" type="noConversion"/>
  </si>
  <si>
    <t>401-01</t>
    <phoneticPr fontId="2" type="noConversion"/>
  </si>
  <si>
    <t>정부 긴급재난지원금 지원사업</t>
    <phoneticPr fontId="2" type="noConversion"/>
  </si>
  <si>
    <t>301-01</t>
    <phoneticPr fontId="2" type="noConversion"/>
  </si>
  <si>
    <t>사회보장적수혜금</t>
    <phoneticPr fontId="2" type="noConversion"/>
  </si>
  <si>
    <t>정부 긴급재난지원금 지원사업 부대비용</t>
    <phoneticPr fontId="2" type="noConversion"/>
  </si>
  <si>
    <t>기간제근로자등보수</t>
    <phoneticPr fontId="2" type="noConversion"/>
  </si>
  <si>
    <t>코로나19 관련 생활지원비</t>
    <phoneticPr fontId="2" type="noConversion"/>
  </si>
  <si>
    <t>동행정복지센터 사회복무요원 중식비</t>
    <phoneticPr fontId="2" type="noConversion"/>
  </si>
  <si>
    <t>사회복지시설 사회복무요원 중식비</t>
    <phoneticPr fontId="2" type="noConversion"/>
  </si>
  <si>
    <t>지역사회보장협의체 사무국 운영</t>
    <phoneticPr fontId="2" type="noConversion"/>
  </si>
  <si>
    <t>307-10</t>
    <phoneticPr fontId="2" type="noConversion"/>
  </si>
  <si>
    <t>사회복지시설법정운영비보조</t>
    <phoneticPr fontId="2" type="noConversion"/>
  </si>
  <si>
    <t>307-11</t>
    <phoneticPr fontId="2" type="noConversion"/>
  </si>
  <si>
    <t>동 맞춤형 통합서비스 지원(동 사례관리사업 지원)</t>
    <phoneticPr fontId="2" type="noConversion"/>
  </si>
  <si>
    <t>사회적 고립가구 사회관계망 형성 지원사업</t>
    <phoneticPr fontId="2" type="noConversion"/>
  </si>
  <si>
    <t>사회복지사업보조</t>
    <phoneticPr fontId="2" type="noConversion"/>
  </si>
  <si>
    <t>민관협력 체계구축</t>
    <phoneticPr fontId="2" type="noConversion"/>
  </si>
  <si>
    <t>복지시설 방역물품 지원사업</t>
    <phoneticPr fontId="2" type="noConversion"/>
  </si>
  <si>
    <t>주민생활현장의 공공서비스 연계 강화 사업</t>
    <phoneticPr fontId="2" type="noConversion"/>
  </si>
  <si>
    <t>이웃과 함께하는 고독사 예방체계 구축 사업</t>
    <phoneticPr fontId="2" type="noConversion"/>
  </si>
  <si>
    <t>위기가구 긴급생계지원</t>
    <phoneticPr fontId="2" type="noConversion"/>
  </si>
  <si>
    <t>위기가구 긴급생계지원(국비)</t>
    <phoneticPr fontId="2" type="noConversion"/>
  </si>
  <si>
    <t>긴급복지 한시적 인건비 지원</t>
    <phoneticPr fontId="2" type="noConversion"/>
  </si>
  <si>
    <t>아동복지교사 파견 사업</t>
    <phoneticPr fontId="2" type="noConversion"/>
  </si>
  <si>
    <t>가정위탁아동 양육수당 지원</t>
    <phoneticPr fontId="2" type="noConversion"/>
  </si>
  <si>
    <t>가정위탁아동 등 대학등록금 지원</t>
    <phoneticPr fontId="2" type="noConversion"/>
  </si>
  <si>
    <t>가정위탁아동 등 자립정착금 지원</t>
    <phoneticPr fontId="2" type="noConversion"/>
  </si>
  <si>
    <t>입양, 가정위탁 아동 심리치료비 지원</t>
    <phoneticPr fontId="2" type="noConversion"/>
  </si>
  <si>
    <t>입양아동가족지원(입양아동 양육수당지원)</t>
    <phoneticPr fontId="2" type="noConversion"/>
  </si>
  <si>
    <t>입양아동가족지원(입양비용 지원)</t>
    <phoneticPr fontId="2" type="noConversion"/>
  </si>
  <si>
    <t>아동발달 지원계좌(디딤씨앗통장)지원</t>
    <phoneticPr fontId="2" type="noConversion"/>
  </si>
  <si>
    <t>입양축하금 지원</t>
    <phoneticPr fontId="2" type="noConversion"/>
  </si>
  <si>
    <t>아동수당 지원</t>
    <phoneticPr fontId="2" type="noConversion"/>
  </si>
  <si>
    <t>아동수당 사업 운영</t>
    <phoneticPr fontId="2" type="noConversion"/>
  </si>
  <si>
    <t>아동양육시설(애아원) 생계 지원</t>
    <phoneticPr fontId="2" type="noConversion"/>
  </si>
  <si>
    <t>아동양육시설(애아원) 운영 지원</t>
    <phoneticPr fontId="2" type="noConversion"/>
  </si>
  <si>
    <t>아동양육시설(애아원)건전육성 지원</t>
    <phoneticPr fontId="2" type="noConversion"/>
  </si>
  <si>
    <t>아동양육시설(애아원) 안전관리 및 환경개선 지원</t>
    <phoneticPr fontId="2" type="noConversion"/>
  </si>
  <si>
    <t>요보호아동 공동생활가정(하늘채) 운영</t>
    <phoneticPr fontId="2" type="noConversion"/>
  </si>
  <si>
    <t>요보호아동 공동생활가정(하늘채) 운영(학대피해아동 전담 공동생활가정운영지원)</t>
    <phoneticPr fontId="2" type="noConversion"/>
  </si>
  <si>
    <t>요보호아동 공동생활가정(하늘채) 운영(공동생활가정 종사자 복지수당 지원)</t>
    <phoneticPr fontId="2" type="noConversion"/>
  </si>
  <si>
    <t>요보호아동 공동생활가정(하늘채) 운영(공동생활가정 종사자 복지포인트 지원)</t>
    <phoneticPr fontId="2" type="noConversion"/>
  </si>
  <si>
    <t>요보호아동 공동생활가정(하늘채) 운영(공동생활가정 안전관리비 지원)</t>
    <phoneticPr fontId="2" type="noConversion"/>
  </si>
  <si>
    <t>요보호아동 공동생활가정(하늘채) 운영(공동생활가정 보호아동 지원)</t>
    <phoneticPr fontId="2" type="noConversion"/>
  </si>
  <si>
    <t>학대피해아동 쉼터(일곱빛) 운영</t>
    <phoneticPr fontId="2" type="noConversion"/>
  </si>
  <si>
    <t>학대피해아동 쉼터(일곱빛) 운영지원(시비)</t>
    <phoneticPr fontId="2" type="noConversion"/>
  </si>
  <si>
    <t>지역아동센터 운영지원</t>
    <phoneticPr fontId="2" type="noConversion"/>
  </si>
  <si>
    <t>특수목적형 지역아동센터 지원</t>
    <phoneticPr fontId="2" type="noConversion"/>
  </si>
  <si>
    <t>지역아동센터 종사자 처우개선 지원</t>
    <phoneticPr fontId="2" type="noConversion"/>
  </si>
  <si>
    <t>야간 전담 지역아동센터 지원</t>
    <phoneticPr fontId="2" type="noConversion"/>
  </si>
  <si>
    <t>지역아동센터 공기청정기 임대료지원</t>
    <phoneticPr fontId="2" type="noConversion"/>
  </si>
  <si>
    <t>지역아동센터 프로그램비 지원</t>
    <phoneticPr fontId="2" type="noConversion"/>
  </si>
  <si>
    <t>우수지역아동센터 지원</t>
    <phoneticPr fontId="2" type="noConversion"/>
  </si>
  <si>
    <t>지역아동센터 환경개선 지원</t>
    <phoneticPr fontId="2" type="noConversion"/>
  </si>
  <si>
    <t>토요운영 지역아동센터 추가 지원</t>
    <phoneticPr fontId="2" type="noConversion"/>
  </si>
  <si>
    <t>지역아동센터 냉난방지 지원</t>
    <phoneticPr fontId="2" type="noConversion"/>
  </si>
  <si>
    <t>307-10</t>
    <phoneticPr fontId="2" type="noConversion"/>
  </si>
  <si>
    <t>지역아동센터 전자카드 운영비 지원</t>
    <phoneticPr fontId="2" type="noConversion"/>
  </si>
  <si>
    <t>다함께 돌봄 사업(설치비)</t>
    <phoneticPr fontId="2" type="noConversion"/>
  </si>
  <si>
    <t>402-03</t>
    <phoneticPr fontId="2" type="noConversion"/>
  </si>
  <si>
    <t>민간위탁사업비</t>
    <phoneticPr fontId="2" type="noConversion"/>
  </si>
  <si>
    <t>다함께 돌봄 센터 운영비 지원</t>
    <phoneticPr fontId="2" type="noConversion"/>
  </si>
  <si>
    <t>다함께 돌봄 센터 인건비 지원</t>
    <phoneticPr fontId="2" type="noConversion"/>
  </si>
  <si>
    <t>아동양육한시지원 사업(특별돌봄쿠폰)</t>
    <phoneticPr fontId="2" type="noConversion"/>
  </si>
  <si>
    <t>301-01</t>
    <phoneticPr fontId="2" type="noConversion"/>
  </si>
  <si>
    <t>사회보장적수혜금</t>
    <phoneticPr fontId="2" type="noConversion"/>
  </si>
  <si>
    <t>아동양육시설(애아원) 기능보강 사업</t>
    <phoneticPr fontId="2" type="noConversion"/>
  </si>
  <si>
    <t>402-02</t>
    <phoneticPr fontId="2" type="noConversion"/>
  </si>
  <si>
    <t>민간자본사업보조(이전재원)</t>
    <phoneticPr fontId="2" type="noConversion"/>
  </si>
  <si>
    <t>아동정책조정 및 인권증진(상담, 조사 시설 한시지원)</t>
    <phoneticPr fontId="2" type="noConversion"/>
  </si>
  <si>
    <t>201-01</t>
    <phoneticPr fontId="2" type="noConversion"/>
  </si>
  <si>
    <t>사무관리비</t>
    <phoneticPr fontId="2" type="noConversion"/>
  </si>
  <si>
    <t>405-01</t>
    <phoneticPr fontId="2" type="noConversion"/>
  </si>
  <si>
    <t>자산및물품취득비</t>
    <phoneticPr fontId="2" type="noConversion"/>
  </si>
  <si>
    <t>청소년 방과후 아카데미 운영</t>
    <phoneticPr fontId="2" type="noConversion"/>
  </si>
  <si>
    <t>307-05</t>
    <phoneticPr fontId="2" type="noConversion"/>
  </si>
  <si>
    <t>민간위탁금</t>
    <phoneticPr fontId="2" type="noConversion"/>
  </si>
  <si>
    <t>청소년안전망 운영(청소년상담복지센터)</t>
    <phoneticPr fontId="2" type="noConversion"/>
  </si>
  <si>
    <t>청소년안전망 지방상담사업(청소년상담복지센터)</t>
    <phoneticPr fontId="2" type="noConversion"/>
  </si>
  <si>
    <t>학교 밖 청소년 지원(청소년상담복지센터)</t>
    <phoneticPr fontId="2" type="noConversion"/>
  </si>
  <si>
    <t>청소년 참여위원회 운영지원(청소년상담복지센터)</t>
    <phoneticPr fontId="2" type="noConversion"/>
  </si>
  <si>
    <t>청소년동반자 사업(청소년상담복지센터)</t>
    <phoneticPr fontId="2" type="noConversion"/>
  </si>
  <si>
    <t>307-05</t>
    <phoneticPr fontId="2" type="noConversion"/>
  </si>
  <si>
    <t>민간위탁금</t>
    <phoneticPr fontId="2" type="noConversion"/>
  </si>
  <si>
    <t>청소년동반자 사업(시비추가)</t>
    <phoneticPr fontId="2" type="noConversion"/>
  </si>
  <si>
    <t>지역사회 청소년안전망 선도사업</t>
    <phoneticPr fontId="2" type="noConversion"/>
  </si>
  <si>
    <t>203-03</t>
    <phoneticPr fontId="2" type="noConversion"/>
  </si>
  <si>
    <t>시책추진업무추진비</t>
    <phoneticPr fontId="2" type="noConversion"/>
  </si>
  <si>
    <t>207-01</t>
    <phoneticPr fontId="2" type="noConversion"/>
  </si>
  <si>
    <t>연구용역비</t>
    <phoneticPr fontId="2" type="noConversion"/>
  </si>
  <si>
    <t>301-12</t>
    <phoneticPr fontId="2" type="noConversion"/>
  </si>
  <si>
    <t>기타보상금</t>
    <phoneticPr fontId="2" type="noConversion"/>
  </si>
  <si>
    <t>청소년 특별지원</t>
    <phoneticPr fontId="2" type="noConversion"/>
  </si>
  <si>
    <t>307-11</t>
    <phoneticPr fontId="2" type="noConversion"/>
  </si>
  <si>
    <t>사회복지사업보조</t>
    <phoneticPr fontId="2" type="noConversion"/>
  </si>
  <si>
    <t>청소년건강지원사업</t>
    <phoneticPr fontId="2" type="noConversion"/>
  </si>
  <si>
    <t>청소년 안전망 고위기청소년 맞춤형프로그램</t>
    <phoneticPr fontId="2" type="noConversion"/>
  </si>
  <si>
    <t>학교 밖 청소년 급식비 지원사업</t>
    <phoneticPr fontId="2" type="noConversion"/>
  </si>
  <si>
    <t>학교 밖 청소년 급식비 지원사업(시비추가)</t>
    <phoneticPr fontId="2" type="noConversion"/>
  </si>
  <si>
    <t>학교 밖 청소년 전용공간 리모델링 사업</t>
    <phoneticPr fontId="2" type="noConversion"/>
  </si>
  <si>
    <t>307-02</t>
    <phoneticPr fontId="2" type="noConversion"/>
  </si>
  <si>
    <t>민강경상사어보조</t>
    <phoneticPr fontId="2" type="noConversion"/>
  </si>
  <si>
    <t>청소년안전망 청소년사례관리사업</t>
    <phoneticPr fontId="2" type="noConversion"/>
  </si>
  <si>
    <t>101-04</t>
    <phoneticPr fontId="2" type="noConversion"/>
  </si>
  <si>
    <t>기간제근로자등보수</t>
    <phoneticPr fontId="2" type="noConversion"/>
  </si>
  <si>
    <t>202-01</t>
    <phoneticPr fontId="2" type="noConversion"/>
  </si>
  <si>
    <t>국내여비</t>
    <phoneticPr fontId="2" type="noConversion"/>
  </si>
  <si>
    <t>청소년 방과후 아카데미 종사자 지원</t>
    <phoneticPr fontId="2" type="noConversion"/>
  </si>
  <si>
    <t>아동통합사례관리사 인건비 지원</t>
    <phoneticPr fontId="2" type="noConversion"/>
  </si>
  <si>
    <t>아동복지교사(지역사회복지사) 인건비지원</t>
    <phoneticPr fontId="2" type="noConversion"/>
  </si>
  <si>
    <t>아동보호전담요원 인건비 지원</t>
    <phoneticPr fontId="2" type="noConversion"/>
  </si>
  <si>
    <t>101-02</t>
    <phoneticPr fontId="2" type="noConversion"/>
  </si>
  <si>
    <t>기타직보수</t>
    <phoneticPr fontId="2" type="noConversion"/>
  </si>
  <si>
    <t>101-03</t>
    <phoneticPr fontId="2" type="noConversion"/>
  </si>
  <si>
    <t>무기계약자근로자보수</t>
    <phoneticPr fontId="2" type="noConversion"/>
  </si>
  <si>
    <t>아동양육한시지원사업(아동특별돌봄지원)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</si>
</sst>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2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0"/>
      <name val="굴림"/>
      <family val="3"/>
    </font>
    <font>
      <b/>
      <sz val="10"/>
      <name val="굴림"/>
      <family val="3"/>
    </font>
    <font>
      <b/>
      <sz val="11"/>
      <name val="굴림"/>
      <family val="3"/>
    </font>
    <font>
      <sz val="9"/>
      <name val="굴림"/>
      <family val="3"/>
    </font>
    <font>
      <sz val="10"/>
      <name val="굴림"/>
      <family val="3"/>
    </font>
    <font>
      <b/>
      <sz val="8"/>
      <name val="굴림"/>
      <family val="3"/>
    </font>
    <font>
      <b/>
      <sz val="9"/>
      <name val="Arial Narrow"/>
      <family val="2"/>
    </font>
    <font>
      <sz val="8"/>
      <name val="굴림"/>
      <family val="3"/>
    </font>
    <font>
      <sz val="9"/>
      <name val="Arial Narrow"/>
      <family val="2"/>
    </font>
    <font>
      <sz val="11"/>
      <name val="굴림"/>
      <family val="3"/>
    </font>
    <font>
      <sz val="10"/>
      <name val="돋움"/>
      <family val="3"/>
      <charset val="129"/>
    </font>
    <font>
      <sz val="8"/>
      <name val="굴림체"/>
      <family val="3"/>
      <charset val="129"/>
    </font>
    <font>
      <b/>
      <sz val="8"/>
      <name val="굴림체"/>
      <family val="3"/>
      <charset val="129"/>
    </font>
    <font>
      <sz val="12"/>
      <name val="돋움"/>
      <family val="3"/>
      <charset val="129"/>
    </font>
    <font>
      <b/>
      <sz val="12"/>
      <name val="돋움"/>
      <family val="3"/>
      <charset val="129"/>
    </font>
    <font>
      <b/>
      <sz val="10"/>
      <color rgb="FFFFFF00"/>
      <name val="굴림"/>
      <family val="3"/>
    </font>
    <font>
      <b/>
      <sz val="9"/>
      <name val="굴림"/>
      <family val="3"/>
    </font>
    <font>
      <sz val="11"/>
      <color theme="1"/>
      <name val="맑은 고딕"/>
      <family val="3"/>
      <charset val="129"/>
      <scheme val="minor"/>
    </font>
    <font>
      <b/>
      <u/>
      <sz val="12"/>
      <name val="돋움"/>
      <family val="3"/>
      <charset val="129"/>
    </font>
    <font>
      <b/>
      <u/>
      <sz val="12"/>
      <color rgb="FF0066FF"/>
      <name val="돋움"/>
      <family val="3"/>
      <charset val="129"/>
    </font>
    <font>
      <b/>
      <u/>
      <sz val="12"/>
      <color theme="1"/>
      <name val="돋움"/>
      <family val="3"/>
      <charset val="129"/>
    </font>
    <font>
      <b/>
      <sz val="12"/>
      <color theme="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8"/>
      <color rgb="FFFF0000"/>
      <name val="굴림"/>
      <family val="3"/>
    </font>
    <font>
      <sz val="9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0" fillId="0" borderId="0">
      <alignment vertical="center"/>
    </xf>
    <xf numFmtId="41" fontId="1" fillId="0" borderId="0" applyFont="0" applyFill="0" applyBorder="0" applyAlignment="0" applyProtection="0"/>
  </cellStyleXfs>
  <cellXfs count="184">
    <xf numFmtId="0" fontId="0" fillId="0" borderId="0" xfId="0"/>
    <xf numFmtId="41" fontId="1" fillId="0" borderId="0" xfId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12" fillId="0" borderId="0" xfId="0" applyFont="1" applyFill="1" applyAlignment="1">
      <alignment vertical="center" wrapText="1"/>
    </xf>
    <xf numFmtId="0" fontId="12" fillId="0" borderId="0" xfId="0" applyFont="1" applyFill="1" applyAlignment="1">
      <alignment vertical="center" shrinkToFit="1"/>
    </xf>
    <xf numFmtId="41" fontId="12" fillId="0" borderId="0" xfId="1" applyFont="1" applyFill="1" applyAlignment="1">
      <alignment vertical="center" shrinkToFit="1"/>
    </xf>
    <xf numFmtId="0" fontId="0" fillId="0" borderId="0" xfId="0" applyFill="1" applyAlignment="1" applyProtection="1">
      <alignment vertical="center" wrapText="1"/>
    </xf>
    <xf numFmtId="41" fontId="13" fillId="0" borderId="0" xfId="1" applyFont="1" applyFill="1" applyAlignment="1" applyProtection="1">
      <alignment vertical="center" wrapText="1"/>
    </xf>
    <xf numFmtId="41" fontId="1" fillId="0" borderId="0" xfId="1" applyFill="1" applyAlignment="1" applyProtection="1">
      <alignment vertical="center" wrapText="1"/>
    </xf>
    <xf numFmtId="41" fontId="0" fillId="0" borderId="0" xfId="1" applyFont="1"/>
    <xf numFmtId="41" fontId="9" fillId="4" borderId="9" xfId="1" applyFont="1" applyFill="1" applyBorder="1" applyAlignment="1" applyProtection="1">
      <alignment vertical="center" wrapText="1"/>
    </xf>
    <xf numFmtId="49" fontId="14" fillId="0" borderId="15" xfId="0" applyNumberFormat="1" applyFont="1" applyFill="1" applyBorder="1" applyAlignment="1">
      <alignment horizontal="left" vertical="center" shrinkToFit="1"/>
    </xf>
    <xf numFmtId="41" fontId="14" fillId="0" borderId="15" xfId="1" applyFont="1" applyFill="1" applyBorder="1" applyAlignment="1">
      <alignment horizontal="left" vertical="center" shrinkToFit="1"/>
    </xf>
    <xf numFmtId="49" fontId="19" fillId="4" borderId="9" xfId="0" applyNumberFormat="1" applyFont="1" applyFill="1" applyBorder="1" applyAlignment="1" applyProtection="1">
      <alignment vertical="center" wrapText="1"/>
    </xf>
    <xf numFmtId="49" fontId="19" fillId="4" borderId="7" xfId="0" applyNumberFormat="1" applyFont="1" applyFill="1" applyBorder="1" applyAlignment="1" applyProtection="1">
      <alignment vertical="center" wrapText="1"/>
    </xf>
    <xf numFmtId="49" fontId="19" fillId="4" borderId="8" xfId="0" applyNumberFormat="1" applyFont="1" applyFill="1" applyBorder="1" applyAlignment="1" applyProtection="1">
      <alignment vertical="center" wrapText="1"/>
    </xf>
    <xf numFmtId="0" fontId="0" fillId="0" borderId="0" xfId="0"/>
    <xf numFmtId="41" fontId="0" fillId="0" borderId="0" xfId="0" applyNumberFormat="1"/>
    <xf numFmtId="41" fontId="11" fillId="6" borderId="7" xfId="1" applyFont="1" applyFill="1" applyBorder="1" applyAlignment="1" applyProtection="1">
      <alignment vertical="center" wrapText="1"/>
      <protection locked="0"/>
    </xf>
    <xf numFmtId="41" fontId="11" fillId="6" borderId="7" xfId="0" applyNumberFormat="1" applyFont="1" applyFill="1" applyBorder="1" applyAlignment="1" applyProtection="1">
      <alignment vertical="center" wrapText="1"/>
      <protection locked="0"/>
    </xf>
    <xf numFmtId="41" fontId="11" fillId="6" borderId="8" xfId="1" applyFont="1" applyFill="1" applyBorder="1" applyAlignment="1" applyProtection="1">
      <alignment vertical="center" wrapText="1"/>
      <protection locked="0"/>
    </xf>
    <xf numFmtId="41" fontId="11" fillId="6" borderId="8" xfId="0" applyNumberFormat="1" applyFont="1" applyFill="1" applyBorder="1" applyAlignment="1" applyProtection="1">
      <alignment vertical="center" wrapText="1"/>
      <protection locked="0"/>
    </xf>
    <xf numFmtId="41" fontId="18" fillId="0" borderId="0" xfId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 indent="2"/>
    </xf>
    <xf numFmtId="0" fontId="6" fillId="0" borderId="0" xfId="0" applyFont="1" applyFill="1" applyAlignment="1">
      <alignment vertical="center"/>
    </xf>
    <xf numFmtId="41" fontId="11" fillId="0" borderId="0" xfId="1" applyFont="1" applyFill="1" applyAlignment="1">
      <alignment vertical="center" wrapText="1"/>
    </xf>
    <xf numFmtId="0" fontId="11" fillId="0" borderId="0" xfId="0" applyFont="1" applyFill="1" applyAlignment="1">
      <alignment vertical="center" wrapText="1"/>
    </xf>
    <xf numFmtId="0" fontId="11" fillId="0" borderId="0" xfId="0" applyFont="1" applyFill="1" applyAlignment="1">
      <alignment vertical="center"/>
    </xf>
    <xf numFmtId="0" fontId="4" fillId="0" borderId="0" xfId="0" applyFont="1" applyFill="1" applyAlignment="1" applyProtection="1">
      <alignment horizontal="right" vertical="center"/>
    </xf>
    <xf numFmtId="41" fontId="4" fillId="0" borderId="0" xfId="1" applyFont="1" applyFill="1" applyAlignment="1" applyProtection="1">
      <alignment vertical="center"/>
    </xf>
    <xf numFmtId="0" fontId="4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176" fontId="4" fillId="0" borderId="0" xfId="1" applyNumberFormat="1" applyFont="1" applyFill="1" applyAlignment="1" applyProtection="1">
      <alignment horizontal="left" vertical="center" indent="2"/>
    </xf>
    <xf numFmtId="0" fontId="4" fillId="0" borderId="0" xfId="0" applyFont="1" applyFill="1" applyAlignment="1" applyProtection="1">
      <alignment horizontal="left" vertical="center" indent="2"/>
    </xf>
    <xf numFmtId="41" fontId="4" fillId="0" borderId="0" xfId="1" applyFont="1" applyFill="1" applyAlignment="1" applyProtection="1">
      <alignment horizontal="left" vertical="center" indent="2"/>
    </xf>
    <xf numFmtId="0" fontId="5" fillId="0" borderId="0" xfId="0" applyFont="1" applyFill="1" applyAlignment="1" applyProtection="1">
      <alignment horizontal="left" vertical="center" indent="2"/>
    </xf>
    <xf numFmtId="0" fontId="6" fillId="0" borderId="0" xfId="0" applyFont="1" applyFill="1" applyAlignment="1" applyProtection="1">
      <alignment vertical="center"/>
    </xf>
    <xf numFmtId="41" fontId="7" fillId="0" borderId="0" xfId="1" applyFont="1" applyFill="1" applyAlignment="1" applyProtection="1">
      <alignment vertical="center"/>
    </xf>
    <xf numFmtId="41" fontId="7" fillId="0" borderId="0" xfId="1" applyFont="1" applyFill="1" applyAlignment="1" applyProtection="1">
      <alignment horizontal="right" vertical="center"/>
    </xf>
    <xf numFmtId="0" fontId="3" fillId="0" borderId="0" xfId="0" applyFont="1" applyFill="1" applyAlignment="1">
      <alignment vertical="center" shrinkToFit="1"/>
    </xf>
    <xf numFmtId="0" fontId="5" fillId="0" borderId="0" xfId="0" applyFont="1" applyFill="1" applyAlignment="1">
      <alignment horizontal="left" vertical="center" shrinkToFit="1"/>
    </xf>
    <xf numFmtId="0" fontId="6" fillId="0" borderId="0" xfId="0" applyFont="1" applyFill="1" applyAlignment="1">
      <alignment vertical="center" shrinkToFit="1"/>
    </xf>
    <xf numFmtId="41" fontId="3" fillId="0" borderId="0" xfId="1" applyFont="1" applyFill="1" applyAlignment="1">
      <alignment vertical="center" shrinkToFit="1"/>
    </xf>
    <xf numFmtId="41" fontId="5" fillId="0" borderId="0" xfId="1" applyFont="1" applyFill="1" applyAlignment="1">
      <alignment horizontal="left" vertical="center" shrinkToFit="1"/>
    </xf>
    <xf numFmtId="41" fontId="6" fillId="0" borderId="0" xfId="1" applyFont="1" applyFill="1" applyAlignment="1">
      <alignment vertical="center" shrinkToFit="1"/>
    </xf>
    <xf numFmtId="41" fontId="1" fillId="0" borderId="0" xfId="1" applyFill="1" applyAlignment="1">
      <alignment vertical="center"/>
    </xf>
    <xf numFmtId="0" fontId="0" fillId="0" borderId="0" xfId="0" applyFill="1" applyAlignment="1">
      <alignment vertical="center"/>
    </xf>
    <xf numFmtId="41" fontId="6" fillId="0" borderId="0" xfId="1" applyFont="1" applyFill="1" applyAlignment="1">
      <alignment vertical="center"/>
    </xf>
    <xf numFmtId="41" fontId="6" fillId="0" borderId="0" xfId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49" fontId="10" fillId="0" borderId="7" xfId="0" applyNumberFormat="1" applyFont="1" applyFill="1" applyBorder="1" applyAlignment="1" applyProtection="1">
      <alignment vertical="center" wrapText="1"/>
    </xf>
    <xf numFmtId="49" fontId="10" fillId="0" borderId="8" xfId="0" applyNumberFormat="1" applyFont="1" applyFill="1" applyBorder="1" applyAlignment="1" applyProtection="1">
      <alignment vertical="center" wrapText="1"/>
    </xf>
    <xf numFmtId="0" fontId="10" fillId="0" borderId="7" xfId="0" applyFont="1" applyFill="1" applyBorder="1" applyAlignment="1" applyProtection="1">
      <alignment vertical="center" wrapText="1"/>
    </xf>
    <xf numFmtId="0" fontId="10" fillId="0" borderId="7" xfId="0" applyFont="1" applyFill="1" applyBorder="1" applyAlignment="1">
      <alignment vertical="center" wrapText="1"/>
    </xf>
    <xf numFmtId="0" fontId="10" fillId="0" borderId="8" xfId="0" applyFont="1" applyFill="1" applyBorder="1" applyAlignment="1" applyProtection="1">
      <alignment vertical="center" wrapText="1"/>
    </xf>
    <xf numFmtId="49" fontId="14" fillId="0" borderId="7" xfId="0" applyNumberFormat="1" applyFont="1" applyFill="1" applyBorder="1" applyAlignment="1">
      <alignment horizontal="left" vertical="center" shrinkToFit="1"/>
    </xf>
    <xf numFmtId="41" fontId="14" fillId="0" borderId="7" xfId="1" applyFont="1" applyFill="1" applyBorder="1" applyAlignment="1">
      <alignment horizontal="left" vertical="center" shrinkToFit="1"/>
    </xf>
    <xf numFmtId="49" fontId="14" fillId="0" borderId="8" xfId="0" applyNumberFormat="1" applyFont="1" applyFill="1" applyBorder="1" applyAlignment="1">
      <alignment horizontal="left" vertical="center" shrinkToFit="1"/>
    </xf>
    <xf numFmtId="41" fontId="14" fillId="0" borderId="8" xfId="1" applyFont="1" applyFill="1" applyBorder="1" applyAlignment="1">
      <alignment horizontal="left" vertical="center" shrinkToFit="1"/>
    </xf>
    <xf numFmtId="49" fontId="14" fillId="2" borderId="9" xfId="0" applyNumberFormat="1" applyFont="1" applyFill="1" applyBorder="1" applyAlignment="1">
      <alignment horizontal="left" vertical="center" shrinkToFit="1"/>
    </xf>
    <xf numFmtId="41" fontId="14" fillId="2" borderId="9" xfId="1" applyFont="1" applyFill="1" applyBorder="1" applyAlignment="1">
      <alignment horizontal="left" vertical="center" shrinkToFit="1"/>
    </xf>
    <xf numFmtId="0" fontId="10" fillId="2" borderId="9" xfId="0" applyFont="1" applyFill="1" applyBorder="1" applyAlignment="1">
      <alignment vertical="center" wrapText="1"/>
    </xf>
    <xf numFmtId="41" fontId="11" fillId="2" borderId="9" xfId="1" applyFont="1" applyFill="1" applyBorder="1" applyAlignment="1">
      <alignment vertical="center" wrapText="1"/>
    </xf>
    <xf numFmtId="41" fontId="11" fillId="3" borderId="9" xfId="1" applyFont="1" applyFill="1" applyBorder="1" applyAlignment="1" applyProtection="1">
      <alignment vertical="center" wrapText="1"/>
    </xf>
    <xf numFmtId="41" fontId="11" fillId="3" borderId="7" xfId="1" applyFont="1" applyFill="1" applyBorder="1" applyAlignment="1" applyProtection="1">
      <alignment vertical="center" wrapText="1"/>
    </xf>
    <xf numFmtId="49" fontId="10" fillId="3" borderId="7" xfId="0" applyNumberFormat="1" applyFont="1" applyFill="1" applyBorder="1" applyAlignment="1" applyProtection="1">
      <alignment vertical="center" wrapText="1"/>
    </xf>
    <xf numFmtId="41" fontId="11" fillId="3" borderId="8" xfId="1" applyFont="1" applyFill="1" applyBorder="1" applyAlignment="1" applyProtection="1">
      <alignment vertical="center" wrapText="1"/>
    </xf>
    <xf numFmtId="49" fontId="10" fillId="3" borderId="8" xfId="0" applyNumberFormat="1" applyFont="1" applyFill="1" applyBorder="1" applyAlignment="1" applyProtection="1">
      <alignment vertical="center" wrapText="1"/>
    </xf>
    <xf numFmtId="49" fontId="10" fillId="5" borderId="7" xfId="0" applyNumberFormat="1" applyFont="1" applyFill="1" applyBorder="1" applyAlignment="1" applyProtection="1">
      <alignment vertical="center" wrapText="1"/>
    </xf>
    <xf numFmtId="41" fontId="11" fillId="5" borderId="7" xfId="0" applyNumberFormat="1" applyFont="1" applyFill="1" applyBorder="1" applyAlignment="1" applyProtection="1">
      <alignment vertical="center" wrapText="1"/>
    </xf>
    <xf numFmtId="49" fontId="10" fillId="5" borderId="8" xfId="0" applyNumberFormat="1" applyFont="1" applyFill="1" applyBorder="1" applyAlignment="1" applyProtection="1">
      <alignment vertical="center" wrapText="1"/>
    </xf>
    <xf numFmtId="41" fontId="11" fillId="5" borderId="8" xfId="0" applyNumberFormat="1" applyFont="1" applyFill="1" applyBorder="1" applyAlignment="1" applyProtection="1">
      <alignment vertical="center" wrapText="1"/>
    </xf>
    <xf numFmtId="49" fontId="8" fillId="4" borderId="7" xfId="0" applyNumberFormat="1" applyFont="1" applyFill="1" applyBorder="1" applyAlignment="1" applyProtection="1">
      <alignment vertical="center" wrapText="1"/>
    </xf>
    <xf numFmtId="49" fontId="8" fillId="4" borderId="8" xfId="0" applyNumberFormat="1" applyFont="1" applyFill="1" applyBorder="1" applyAlignment="1" applyProtection="1">
      <alignment vertical="center" wrapText="1"/>
    </xf>
    <xf numFmtId="49" fontId="8" fillId="4" borderId="9" xfId="0" applyNumberFormat="1" applyFont="1" applyFill="1" applyBorder="1" applyAlignment="1" applyProtection="1">
      <alignment vertical="center" wrapText="1"/>
    </xf>
    <xf numFmtId="49" fontId="10" fillId="3" borderId="9" xfId="0" applyNumberFormat="1" applyFont="1" applyFill="1" applyBorder="1" applyAlignment="1" applyProtection="1">
      <alignment vertical="center" wrapText="1"/>
    </xf>
    <xf numFmtId="41" fontId="11" fillId="0" borderId="7" xfId="1" applyFont="1" applyFill="1" applyBorder="1" applyAlignment="1" applyProtection="1">
      <alignment vertical="center" wrapText="1"/>
      <protection locked="0"/>
    </xf>
    <xf numFmtId="41" fontId="11" fillId="0" borderId="7" xfId="0" applyNumberFormat="1" applyFont="1" applyFill="1" applyBorder="1" applyAlignment="1" applyProtection="1">
      <alignment vertical="center" wrapText="1"/>
      <protection locked="0"/>
    </xf>
    <xf numFmtId="41" fontId="11" fillId="0" borderId="8" xfId="1" applyFont="1" applyFill="1" applyBorder="1" applyAlignment="1" applyProtection="1">
      <alignment vertical="center" wrapText="1"/>
      <protection locked="0"/>
    </xf>
    <xf numFmtId="41" fontId="11" fillId="0" borderId="8" xfId="0" applyNumberFormat="1" applyFont="1" applyFill="1" applyBorder="1" applyAlignment="1" applyProtection="1">
      <alignment vertical="center" wrapText="1"/>
      <protection locked="0"/>
    </xf>
    <xf numFmtId="49" fontId="10" fillId="2" borderId="9" xfId="0" applyNumberFormat="1" applyFont="1" applyFill="1" applyBorder="1" applyAlignment="1" applyProtection="1">
      <alignment vertical="center" wrapText="1"/>
    </xf>
    <xf numFmtId="0" fontId="10" fillId="2" borderId="9" xfId="0" applyFont="1" applyFill="1" applyBorder="1" applyAlignment="1" applyProtection="1">
      <alignment vertical="center" wrapText="1"/>
    </xf>
    <xf numFmtId="0" fontId="0" fillId="0" borderId="0" xfId="0" applyFill="1" applyAlignment="1" applyProtection="1">
      <alignment vertical="center"/>
    </xf>
    <xf numFmtId="49" fontId="14" fillId="4" borderId="9" xfId="0" applyNumberFormat="1" applyFont="1" applyFill="1" applyBorder="1" applyAlignment="1" applyProtection="1">
      <alignment horizontal="left" vertical="center" shrinkToFit="1"/>
    </xf>
    <xf numFmtId="41" fontId="15" fillId="4" borderId="9" xfId="1" applyFont="1" applyFill="1" applyBorder="1" applyAlignment="1" applyProtection="1">
      <alignment horizontal="left" vertical="center" shrinkToFit="1"/>
    </xf>
    <xf numFmtId="49" fontId="14" fillId="4" borderId="7" xfId="0" applyNumberFormat="1" applyFont="1" applyFill="1" applyBorder="1" applyAlignment="1" applyProtection="1">
      <alignment horizontal="left" vertical="center" shrinkToFit="1"/>
    </xf>
    <xf numFmtId="41" fontId="15" fillId="4" borderId="7" xfId="1" applyFont="1" applyFill="1" applyBorder="1" applyAlignment="1" applyProtection="1">
      <alignment horizontal="left" vertical="center" shrinkToFit="1"/>
    </xf>
    <xf numFmtId="41" fontId="9" fillId="4" borderId="7" xfId="1" applyFont="1" applyFill="1" applyBorder="1" applyAlignment="1" applyProtection="1">
      <alignment horizontal="left" vertical="center" shrinkToFit="1"/>
    </xf>
    <xf numFmtId="49" fontId="14" fillId="4" borderId="8" xfId="0" applyNumberFormat="1" applyFont="1" applyFill="1" applyBorder="1" applyAlignment="1" applyProtection="1">
      <alignment horizontal="left" vertical="center" shrinkToFit="1"/>
    </xf>
    <xf numFmtId="41" fontId="15" fillId="4" borderId="8" xfId="1" applyFont="1" applyFill="1" applyBorder="1" applyAlignment="1" applyProtection="1">
      <alignment horizontal="left" vertical="center" shrinkToFit="1"/>
    </xf>
    <xf numFmtId="49" fontId="14" fillId="3" borderId="7" xfId="0" applyNumberFormat="1" applyFont="1" applyFill="1" applyBorder="1" applyAlignment="1" applyProtection="1">
      <alignment horizontal="left" vertical="center" shrinkToFit="1"/>
    </xf>
    <xf numFmtId="49" fontId="14" fillId="3" borderId="8" xfId="0" applyNumberFormat="1" applyFont="1" applyFill="1" applyBorder="1" applyAlignment="1" applyProtection="1">
      <alignment horizontal="left" vertical="center" shrinkToFit="1"/>
    </xf>
    <xf numFmtId="49" fontId="14" fillId="3" borderId="9" xfId="0" applyNumberFormat="1" applyFont="1" applyFill="1" applyBorder="1" applyAlignment="1" applyProtection="1">
      <alignment horizontal="left" vertical="center" shrinkToFit="1"/>
    </xf>
    <xf numFmtId="41" fontId="9" fillId="4" borderId="8" xfId="1" applyFont="1" applyFill="1" applyBorder="1" applyAlignment="1" applyProtection="1">
      <alignment horizontal="left" vertical="center" shrinkToFit="1"/>
    </xf>
    <xf numFmtId="49" fontId="14" fillId="0" borderId="5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8" xfId="0" applyNumberFormat="1" applyFont="1" applyFill="1" applyBorder="1" applyAlignment="1" applyProtection="1">
      <alignment vertical="center" wrapText="1"/>
    </xf>
    <xf numFmtId="0" fontId="10" fillId="6" borderId="8" xfId="0" applyFont="1" applyFill="1" applyBorder="1" applyAlignment="1" applyProtection="1">
      <alignment vertical="center" wrapText="1"/>
    </xf>
    <xf numFmtId="49" fontId="10" fillId="6" borderId="7" xfId="0" applyNumberFormat="1" applyFont="1" applyFill="1" applyBorder="1" applyAlignment="1" applyProtection="1">
      <alignment vertical="center" wrapText="1"/>
    </xf>
    <xf numFmtId="0" fontId="10" fillId="6" borderId="7" xfId="0" applyFont="1" applyFill="1" applyBorder="1" applyAlignment="1" applyProtection="1">
      <alignment vertical="center" wrapText="1"/>
    </xf>
    <xf numFmtId="0" fontId="10" fillId="6" borderId="7" xfId="0" applyFont="1" applyFill="1" applyBorder="1" applyAlignment="1">
      <alignment vertical="center" wrapText="1"/>
    </xf>
    <xf numFmtId="49" fontId="10" fillId="5" borderId="9" xfId="0" applyNumberFormat="1" applyFont="1" applyFill="1" applyBorder="1" applyAlignment="1" applyProtection="1">
      <alignment vertical="center" wrapText="1"/>
    </xf>
    <xf numFmtId="0" fontId="27" fillId="2" borderId="9" xfId="0" applyFont="1" applyFill="1" applyBorder="1" applyAlignment="1">
      <alignment vertical="center" wrapText="1"/>
    </xf>
    <xf numFmtId="41" fontId="28" fillId="2" borderId="9" xfId="1" applyFont="1" applyFill="1" applyBorder="1" applyAlignment="1">
      <alignment vertical="center" wrapText="1"/>
    </xf>
    <xf numFmtId="0" fontId="27" fillId="2" borderId="9" xfId="0" applyFont="1" applyFill="1" applyBorder="1" applyAlignment="1" applyProtection="1">
      <alignment vertical="center" wrapText="1"/>
    </xf>
    <xf numFmtId="49" fontId="27" fillId="2" borderId="9" xfId="0" applyNumberFormat="1" applyFont="1" applyFill="1" applyBorder="1" applyAlignment="1" applyProtection="1">
      <alignment vertical="center" wrapText="1"/>
    </xf>
    <xf numFmtId="0" fontId="27" fillId="6" borderId="7" xfId="0" applyFont="1" applyFill="1" applyBorder="1" applyAlignment="1" applyProtection="1">
      <alignment vertical="center" wrapText="1"/>
    </xf>
    <xf numFmtId="41" fontId="28" fillId="6" borderId="7" xfId="1" applyFont="1" applyFill="1" applyBorder="1" applyAlignment="1" applyProtection="1">
      <alignment vertical="center" wrapText="1"/>
      <protection locked="0"/>
    </xf>
    <xf numFmtId="49" fontId="27" fillId="6" borderId="7" xfId="0" applyNumberFormat="1" applyFont="1" applyFill="1" applyBorder="1" applyAlignment="1" applyProtection="1">
      <alignment vertical="center" wrapText="1"/>
    </xf>
    <xf numFmtId="41" fontId="28" fillId="6" borderId="7" xfId="0" applyNumberFormat="1" applyFont="1" applyFill="1" applyBorder="1" applyAlignment="1" applyProtection="1">
      <alignment vertical="center" wrapText="1"/>
      <protection locked="0"/>
    </xf>
    <xf numFmtId="49" fontId="27" fillId="5" borderId="7" xfId="0" applyNumberFormat="1" applyFont="1" applyFill="1" applyBorder="1" applyAlignment="1" applyProtection="1">
      <alignment vertical="center" wrapText="1"/>
    </xf>
    <xf numFmtId="41" fontId="28" fillId="5" borderId="7" xfId="0" applyNumberFormat="1" applyFont="1" applyFill="1" applyBorder="1" applyAlignment="1" applyProtection="1">
      <alignment vertical="center" wrapText="1"/>
    </xf>
    <xf numFmtId="0" fontId="27" fillId="6" borderId="7" xfId="0" applyFont="1" applyFill="1" applyBorder="1" applyAlignment="1">
      <alignment vertical="center" wrapText="1"/>
    </xf>
    <xf numFmtId="0" fontId="27" fillId="6" borderId="8" xfId="0" applyFont="1" applyFill="1" applyBorder="1" applyAlignment="1" applyProtection="1">
      <alignment vertical="center" wrapText="1"/>
    </xf>
    <xf numFmtId="41" fontId="28" fillId="6" borderId="8" xfId="1" applyFont="1" applyFill="1" applyBorder="1" applyAlignment="1" applyProtection="1">
      <alignment vertical="center" wrapText="1"/>
      <protection locked="0"/>
    </xf>
    <xf numFmtId="49" fontId="27" fillId="6" borderId="8" xfId="0" applyNumberFormat="1" applyFont="1" applyFill="1" applyBorder="1" applyAlignment="1" applyProtection="1">
      <alignment vertical="center" wrapText="1"/>
    </xf>
    <xf numFmtId="41" fontId="28" fillId="6" borderId="8" xfId="0" applyNumberFormat="1" applyFont="1" applyFill="1" applyBorder="1" applyAlignment="1" applyProtection="1">
      <alignment vertical="center" wrapText="1"/>
      <protection locked="0"/>
    </xf>
    <xf numFmtId="49" fontId="27" fillId="5" borderId="8" xfId="0" applyNumberFormat="1" applyFont="1" applyFill="1" applyBorder="1" applyAlignment="1" applyProtection="1">
      <alignment vertical="center" wrapText="1"/>
    </xf>
    <xf numFmtId="41" fontId="28" fillId="5" borderId="8" xfId="0" applyNumberFormat="1" applyFont="1" applyFill="1" applyBorder="1" applyAlignment="1" applyProtection="1">
      <alignment vertical="center" wrapText="1"/>
    </xf>
    <xf numFmtId="0" fontId="27" fillId="0" borderId="7" xfId="0" applyFont="1" applyFill="1" applyBorder="1" applyAlignment="1" applyProtection="1">
      <alignment vertical="center" wrapText="1"/>
    </xf>
    <xf numFmtId="41" fontId="28" fillId="0" borderId="7" xfId="1" applyFont="1" applyFill="1" applyBorder="1" applyAlignment="1" applyProtection="1">
      <alignment vertical="center" wrapText="1"/>
      <protection locked="0"/>
    </xf>
    <xf numFmtId="49" fontId="27" fillId="0" borderId="7" xfId="0" applyNumberFormat="1" applyFont="1" applyFill="1" applyBorder="1" applyAlignment="1" applyProtection="1">
      <alignment vertical="center" wrapText="1"/>
    </xf>
    <xf numFmtId="41" fontId="28" fillId="0" borderId="7" xfId="0" applyNumberFormat="1" applyFont="1" applyFill="1" applyBorder="1" applyAlignment="1" applyProtection="1">
      <alignment vertical="center" wrapText="1"/>
      <protection locked="0"/>
    </xf>
    <xf numFmtId="0" fontId="27" fillId="0" borderId="7" xfId="0" applyFont="1" applyFill="1" applyBorder="1" applyAlignment="1">
      <alignment vertical="center" wrapText="1"/>
    </xf>
    <xf numFmtId="0" fontId="27" fillId="0" borderId="8" xfId="0" applyFont="1" applyFill="1" applyBorder="1" applyAlignment="1" applyProtection="1">
      <alignment vertical="center" wrapText="1"/>
    </xf>
    <xf numFmtId="41" fontId="28" fillId="0" borderId="8" xfId="1" applyFont="1" applyFill="1" applyBorder="1" applyAlignment="1" applyProtection="1">
      <alignment vertical="center" wrapText="1"/>
      <protection locked="0"/>
    </xf>
    <xf numFmtId="49" fontId="27" fillId="0" borderId="8" xfId="0" applyNumberFormat="1" applyFont="1" applyFill="1" applyBorder="1" applyAlignment="1" applyProtection="1">
      <alignment vertical="center" wrapText="1"/>
    </xf>
    <xf numFmtId="41" fontId="28" fillId="0" borderId="8" xfId="0" applyNumberFormat="1" applyFont="1" applyFill="1" applyBorder="1" applyAlignment="1" applyProtection="1">
      <alignment vertical="center" wrapText="1"/>
      <protection locked="0"/>
    </xf>
    <xf numFmtId="41" fontId="28" fillId="2" borderId="9" xfId="0" applyNumberFormat="1" applyFont="1" applyFill="1" applyBorder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/>
    <xf numFmtId="0" fontId="14" fillId="7" borderId="5" xfId="0" applyFont="1" applyFill="1" applyBorder="1" applyAlignment="1" applyProtection="1">
      <alignment vertical="center" wrapText="1"/>
      <protection locked="0"/>
    </xf>
    <xf numFmtId="17" fontId="14" fillId="0" borderId="10" xfId="0" applyNumberFormat="1" applyFont="1" applyFill="1" applyBorder="1" applyAlignment="1" applyProtection="1">
      <alignment vertical="center" wrapText="1"/>
      <protection locked="0"/>
    </xf>
    <xf numFmtId="0" fontId="14" fillId="0" borderId="0" xfId="0" applyFont="1" applyFill="1" applyBorder="1" applyAlignment="1" applyProtection="1">
      <alignment vertical="center" wrapText="1"/>
      <protection locked="0"/>
    </xf>
    <xf numFmtId="0" fontId="14" fillId="0" borderId="11" xfId="0" applyFont="1" applyFill="1" applyBorder="1" applyAlignment="1" applyProtection="1">
      <alignment horizontal="left" vertical="center" wrapText="1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2" xfId="0" applyFont="1" applyFill="1" applyBorder="1" applyAlignment="1" applyProtection="1">
      <alignment horizontal="left" vertical="center" wrapText="1"/>
      <protection locked="0"/>
    </xf>
    <xf numFmtId="0" fontId="14" fillId="0" borderId="6" xfId="0" applyFont="1" applyFill="1" applyBorder="1" applyAlignment="1" applyProtection="1">
      <alignment vertical="center" wrapText="1"/>
      <protection locked="0"/>
    </xf>
    <xf numFmtId="0" fontId="14" fillId="0" borderId="10" xfId="0" applyFont="1" applyFill="1" applyBorder="1" applyAlignment="1" applyProtection="1">
      <alignment vertical="center" wrapText="1"/>
      <protection locked="0"/>
    </xf>
    <xf numFmtId="0" fontId="14" fillId="0" borderId="5" xfId="0" applyFont="1" applyFill="1" applyBorder="1" applyAlignment="1" applyProtection="1">
      <alignment vertical="center" wrapText="1"/>
      <protection locked="0"/>
    </xf>
    <xf numFmtId="0" fontId="14" fillId="0" borderId="9" xfId="0" applyFont="1" applyFill="1" applyBorder="1" applyAlignment="1" applyProtection="1">
      <alignment vertical="center" wrapText="1"/>
      <protection locked="0"/>
    </xf>
    <xf numFmtId="0" fontId="14" fillId="0" borderId="7" xfId="0" applyFont="1" applyFill="1" applyBorder="1" applyAlignment="1" applyProtection="1">
      <alignment vertical="center" wrapText="1"/>
      <protection locked="0"/>
    </xf>
    <xf numFmtId="0" fontId="14" fillId="0" borderId="9" xfId="0" applyFont="1" applyFill="1" applyBorder="1" applyAlignment="1" applyProtection="1">
      <alignment horizontal="left" vertical="center" wrapText="1"/>
      <protection locked="0"/>
    </xf>
    <xf numFmtId="0" fontId="14" fillId="0" borderId="7" xfId="0" applyFont="1" applyFill="1" applyBorder="1" applyAlignment="1" applyProtection="1">
      <alignment horizontal="left" vertical="center" wrapText="1"/>
      <protection locked="0"/>
    </xf>
    <xf numFmtId="0" fontId="14" fillId="0" borderId="8" xfId="0" applyFont="1" applyFill="1" applyBorder="1" applyAlignment="1" applyProtection="1">
      <alignment horizontal="left" vertical="center" wrapText="1"/>
      <protection locked="0"/>
    </xf>
    <xf numFmtId="0" fontId="14" fillId="0" borderId="8" xfId="0" applyFont="1" applyFill="1" applyBorder="1" applyAlignment="1" applyProtection="1">
      <alignment vertical="center" wrapText="1"/>
      <protection locked="0"/>
    </xf>
    <xf numFmtId="0" fontId="14" fillId="0" borderId="18" xfId="0" applyFont="1" applyFill="1" applyBorder="1" applyAlignment="1" applyProtection="1">
      <alignment vertical="center" wrapText="1"/>
      <protection locked="0"/>
    </xf>
    <xf numFmtId="0" fontId="14" fillId="0" borderId="0" xfId="0" applyFont="1" applyFill="1" applyAlignment="1" applyProtection="1">
      <alignment vertical="center" wrapText="1"/>
      <protection locked="0"/>
    </xf>
    <xf numFmtId="0" fontId="14" fillId="0" borderId="12" xfId="0" applyFont="1" applyFill="1" applyBorder="1" applyAlignment="1" applyProtection="1">
      <alignment vertical="center" wrapText="1"/>
      <protection locked="0"/>
    </xf>
    <xf numFmtId="0" fontId="14" fillId="0" borderId="11" xfId="0" applyFont="1" applyFill="1" applyBorder="1" applyAlignment="1" applyProtection="1">
      <alignment vertical="center" wrapText="1"/>
      <protection locked="0"/>
    </xf>
    <xf numFmtId="17" fontId="14" fillId="0" borderId="18" xfId="0" applyNumberFormat="1" applyFont="1" applyFill="1" applyBorder="1" applyAlignment="1" applyProtection="1">
      <alignment vertical="center" wrapText="1"/>
      <protection locked="0"/>
    </xf>
    <xf numFmtId="0" fontId="14" fillId="0" borderId="15" xfId="0" applyFont="1" applyFill="1" applyBorder="1" applyAlignment="1" applyProtection="1">
      <alignment vertical="center" wrapText="1"/>
      <protection locked="0"/>
    </xf>
    <xf numFmtId="0" fontId="14" fillId="0" borderId="17" xfId="0" applyFont="1" applyFill="1" applyBorder="1" applyAlignment="1" applyProtection="1">
      <alignment vertical="center" wrapText="1"/>
      <protection locked="0"/>
    </xf>
    <xf numFmtId="0" fontId="14" fillId="0" borderId="16" xfId="0" applyFont="1" applyFill="1" applyBorder="1" applyAlignment="1" applyProtection="1">
      <alignment vertical="center" wrapText="1"/>
      <protection locked="0"/>
    </xf>
    <xf numFmtId="17" fontId="14" fillId="0" borderId="2" xfId="0" applyNumberFormat="1" applyFont="1" applyFill="1" applyBorder="1" applyAlignment="1" applyProtection="1">
      <alignment vertical="center" wrapText="1"/>
      <protection locked="0"/>
    </xf>
    <xf numFmtId="0" fontId="14" fillId="0" borderId="1" xfId="0" applyFont="1" applyFill="1" applyBorder="1" applyAlignment="1" applyProtection="1">
      <alignment vertical="center" wrapText="1"/>
      <protection locked="0"/>
    </xf>
    <xf numFmtId="0" fontId="14" fillId="0" borderId="2" xfId="0" applyFont="1" applyFill="1" applyBorder="1" applyAlignment="1" applyProtection="1">
      <alignment vertical="center" wrapText="1"/>
      <protection locked="0"/>
    </xf>
    <xf numFmtId="0" fontId="14" fillId="0" borderId="4" xfId="0" applyFont="1" applyFill="1" applyBorder="1" applyAlignment="1" applyProtection="1">
      <alignment vertical="center" wrapText="1"/>
      <protection locked="0"/>
    </xf>
    <xf numFmtId="0" fontId="14" fillId="7" borderId="12" xfId="0" applyFont="1" applyFill="1" applyBorder="1" applyAlignment="1" applyProtection="1">
      <alignment vertical="center" wrapText="1"/>
      <protection locked="0"/>
    </xf>
    <xf numFmtId="49" fontId="14" fillId="3" borderId="2" xfId="0" applyNumberFormat="1" applyFont="1" applyFill="1" applyBorder="1" applyAlignment="1" applyProtection="1">
      <alignment horizontal="left" vertical="center" wrapText="1"/>
    </xf>
    <xf numFmtId="49" fontId="14" fillId="3" borderId="10" xfId="0" applyNumberFormat="1" applyFont="1" applyFill="1" applyBorder="1" applyAlignment="1" applyProtection="1">
      <alignment horizontal="left" vertical="center" wrapText="1"/>
    </xf>
    <xf numFmtId="49" fontId="14" fillId="3" borderId="3" xfId="0" applyNumberFormat="1" applyFont="1" applyFill="1" applyBorder="1" applyAlignment="1" applyProtection="1">
      <alignment horizontal="left" vertical="center" wrapText="1"/>
    </xf>
    <xf numFmtId="49" fontId="14" fillId="3" borderId="1" xfId="0" applyNumberFormat="1" applyFont="1" applyFill="1" applyBorder="1" applyAlignment="1" applyProtection="1">
      <alignment horizontal="left" vertical="center" wrapText="1"/>
    </xf>
    <xf numFmtId="49" fontId="14" fillId="3" borderId="0" xfId="0" applyNumberFormat="1" applyFont="1" applyFill="1" applyBorder="1" applyAlignment="1" applyProtection="1">
      <alignment horizontal="left" vertical="center" wrapText="1"/>
    </xf>
    <xf numFmtId="49" fontId="14" fillId="3" borderId="13" xfId="0" applyNumberFormat="1" applyFont="1" applyFill="1" applyBorder="1" applyAlignment="1" applyProtection="1">
      <alignment horizontal="left" vertical="center" wrapText="1"/>
    </xf>
    <xf numFmtId="0" fontId="14" fillId="7" borderId="11" xfId="0" applyFont="1" applyFill="1" applyBorder="1" applyAlignment="1" applyProtection="1">
      <alignment vertical="center" wrapText="1"/>
      <protection locked="0"/>
    </xf>
    <xf numFmtId="49" fontId="14" fillId="0" borderId="5" xfId="0" applyNumberFormat="1" applyFont="1" applyFill="1" applyBorder="1" applyAlignment="1" applyProtection="1">
      <alignment horizontal="center" vertical="center" wrapText="1"/>
    </xf>
    <xf numFmtId="49" fontId="14" fillId="0" borderId="5" xfId="0" applyNumberFormat="1" applyFont="1" applyFill="1" applyBorder="1" applyAlignment="1" applyProtection="1">
      <alignment horizontal="center" vertical="center" wrapText="1"/>
      <protection locked="0"/>
    </xf>
    <xf numFmtId="49" fontId="15" fillId="4" borderId="2" xfId="0" applyNumberFormat="1" applyFont="1" applyFill="1" applyBorder="1" applyAlignment="1" applyProtection="1">
      <alignment horizontal="left" vertical="center" wrapText="1"/>
    </xf>
    <xf numFmtId="49" fontId="15" fillId="4" borderId="10" xfId="0" applyNumberFormat="1" applyFont="1" applyFill="1" applyBorder="1" applyAlignment="1" applyProtection="1">
      <alignment horizontal="left" vertical="center" wrapText="1"/>
    </xf>
    <xf numFmtId="49" fontId="15" fillId="4" borderId="3" xfId="0" applyNumberFormat="1" applyFont="1" applyFill="1" applyBorder="1" applyAlignment="1" applyProtection="1">
      <alignment horizontal="left" vertical="center" wrapText="1"/>
    </xf>
    <xf numFmtId="49" fontId="15" fillId="4" borderId="1" xfId="0" applyNumberFormat="1" applyFont="1" applyFill="1" applyBorder="1" applyAlignment="1" applyProtection="1">
      <alignment horizontal="left" vertical="center" wrapText="1"/>
    </xf>
    <xf numFmtId="49" fontId="15" fillId="4" borderId="0" xfId="0" applyNumberFormat="1" applyFont="1" applyFill="1" applyBorder="1" applyAlignment="1" applyProtection="1">
      <alignment horizontal="left" vertical="center" wrapText="1"/>
    </xf>
    <xf numFmtId="49" fontId="15" fillId="4" borderId="13" xfId="0" applyNumberFormat="1" applyFont="1" applyFill="1" applyBorder="1" applyAlignment="1" applyProtection="1">
      <alignment horizontal="left" vertical="center" wrapText="1"/>
    </xf>
    <xf numFmtId="49" fontId="15" fillId="4" borderId="4" xfId="0" applyNumberFormat="1" applyFont="1" applyFill="1" applyBorder="1" applyAlignment="1" applyProtection="1">
      <alignment horizontal="left" vertical="center" wrapText="1"/>
    </xf>
    <xf numFmtId="49" fontId="15" fillId="4" borderId="6" xfId="0" applyNumberFormat="1" applyFont="1" applyFill="1" applyBorder="1" applyAlignment="1" applyProtection="1">
      <alignment horizontal="left" vertical="center" wrapText="1"/>
    </xf>
    <xf numFmtId="49" fontId="15" fillId="4" borderId="14" xfId="0" applyNumberFormat="1" applyFont="1" applyFill="1" applyBorder="1" applyAlignment="1" applyProtection="1">
      <alignment horizontal="left" vertical="center" wrapText="1"/>
    </xf>
    <xf numFmtId="49" fontId="14" fillId="0" borderId="2" xfId="0" applyNumberFormat="1" applyFont="1" applyFill="1" applyBorder="1" applyAlignment="1">
      <alignment horizontal="center" vertical="center" shrinkToFit="1"/>
    </xf>
    <xf numFmtId="49" fontId="14" fillId="0" borderId="3" xfId="0" applyNumberFormat="1" applyFont="1" applyFill="1" applyBorder="1" applyAlignment="1">
      <alignment horizontal="center" vertical="center" shrinkToFit="1"/>
    </xf>
    <xf numFmtId="49" fontId="14" fillId="0" borderId="1" xfId="0" applyNumberFormat="1" applyFont="1" applyFill="1" applyBorder="1" applyAlignment="1">
      <alignment horizontal="center" vertical="center" shrinkToFit="1"/>
    </xf>
    <xf numFmtId="49" fontId="14" fillId="0" borderId="13" xfId="0" applyNumberFormat="1" applyFont="1" applyFill="1" applyBorder="1" applyAlignment="1">
      <alignment horizontal="center" vertical="center" shrinkToFit="1"/>
    </xf>
    <xf numFmtId="49" fontId="14" fillId="0" borderId="4" xfId="0" applyNumberFormat="1" applyFont="1" applyFill="1" applyBorder="1" applyAlignment="1">
      <alignment horizontal="center" vertical="center" shrinkToFit="1"/>
    </xf>
    <xf numFmtId="49" fontId="14" fillId="0" borderId="14" xfId="0" applyNumberFormat="1" applyFont="1" applyFill="1" applyBorder="1" applyAlignment="1">
      <alignment horizontal="center" vertical="center" shrinkToFit="1"/>
    </xf>
  </cellXfs>
  <cellStyles count="4">
    <cellStyle name="쉼표 [0]" xfId="1" builtinId="6"/>
    <cellStyle name="쉼표 [0] 2" xfId="3" xr:uid="{00000000-0005-0000-0000-000001000000}"/>
    <cellStyle name="표준" xfId="0" builtinId="0"/>
    <cellStyle name="표준 2" xfId="2" xr:uid="{00000000-0005-0000-0000-000003000000}"/>
  </cellStyles>
  <dxfs count="6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pane ySplit="1" topLeftCell="A2" activePane="bottomLeft" state="frozen"/>
      <selection pane="bottomLeft" activeCell="A2" sqref="A2:H2"/>
    </sheetView>
  </sheetViews>
  <sheetFormatPr defaultRowHeight="13.5" x14ac:dyDescent="0.15"/>
  <cols>
    <col min="1" max="1" width="21.6640625" customWidth="1"/>
    <col min="2" max="3" width="19.77734375" bestFit="1" customWidth="1"/>
    <col min="4" max="5" width="17.33203125" bestFit="1" customWidth="1"/>
    <col min="6" max="6" width="18.5546875" bestFit="1" customWidth="1"/>
    <col min="7" max="7" width="17.33203125" bestFit="1" customWidth="1"/>
    <col min="8" max="8" width="17" customWidth="1"/>
    <col min="9" max="9" width="3.44140625" customWidth="1"/>
    <col min="12" max="12" width="11.6640625" bestFit="1" customWidth="1"/>
  </cols>
  <sheetData>
    <row r="1" spans="1:11" x14ac:dyDescent="0.15">
      <c r="B1" s="17"/>
      <c r="C1" s="17"/>
      <c r="F1" s="17"/>
      <c r="J1" s="16" t="e">
        <f>IF(B1=#REF!,"",FALSE)</f>
        <v>#REF!</v>
      </c>
      <c r="K1" s="16"/>
    </row>
    <row r="2" spans="1:11" ht="213" customHeight="1" x14ac:dyDescent="0.15">
      <c r="A2" s="130" t="s">
        <v>87</v>
      </c>
      <c r="B2" s="131"/>
      <c r="C2" s="131"/>
      <c r="D2" s="131"/>
      <c r="E2" s="131"/>
      <c r="F2" s="131"/>
      <c r="G2" s="131"/>
      <c r="H2" s="131"/>
    </row>
    <row r="4" spans="1:11" x14ac:dyDescent="0.15">
      <c r="C4" s="9"/>
      <c r="D4" s="9"/>
      <c r="E4" s="9"/>
      <c r="F4" s="9"/>
    </row>
    <row r="5" spans="1:11" x14ac:dyDescent="0.15">
      <c r="C5" s="9"/>
      <c r="D5" s="9"/>
      <c r="E5" s="9"/>
      <c r="F5" s="9"/>
    </row>
    <row r="6" spans="1:11" x14ac:dyDescent="0.15">
      <c r="C6" s="9"/>
      <c r="D6" s="9"/>
      <c r="E6" s="9"/>
      <c r="F6" s="9"/>
    </row>
    <row r="7" spans="1:11" x14ac:dyDescent="0.15">
      <c r="C7" s="9"/>
      <c r="D7" s="9"/>
      <c r="E7" s="9"/>
      <c r="F7" s="9"/>
    </row>
    <row r="8" spans="1:11" x14ac:dyDescent="0.15">
      <c r="C8" s="9"/>
      <c r="D8" s="9"/>
      <c r="E8" s="9"/>
      <c r="F8" s="9"/>
    </row>
    <row r="9" spans="1:11" x14ac:dyDescent="0.15">
      <c r="C9" s="9"/>
      <c r="D9" s="9"/>
      <c r="E9" s="9"/>
      <c r="F9" s="9"/>
    </row>
    <row r="10" spans="1:11" x14ac:dyDescent="0.15">
      <c r="C10" s="9"/>
      <c r="D10" s="9"/>
      <c r="E10" s="9"/>
      <c r="F10" s="9"/>
    </row>
    <row r="11" spans="1:11" x14ac:dyDescent="0.15">
      <c r="C11" s="9"/>
      <c r="D11" s="9"/>
      <c r="E11" s="9"/>
      <c r="F11" s="9"/>
    </row>
  </sheetData>
  <mergeCells count="1">
    <mergeCell ref="A2:H2"/>
  </mergeCells>
  <phoneticPr fontId="2" type="noConversion"/>
  <pageMargins left="0.19685039370078741" right="0.19685039370078741" top="0.74803149606299213" bottom="0.74803149606299213" header="0.31496062992125984" footer="0.31496062992125984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14"/>
  <sheetViews>
    <sheetView tabSelected="1" view="pageBreakPreview" zoomScale="130" zoomScaleNormal="90" zoomScaleSheetLayoutView="130" workbookViewId="0">
      <pane xSplit="3" ySplit="10" topLeftCell="D497" activePane="bottomRight" state="frozen"/>
      <selection pane="topRight" activeCell="D1" sqref="D1"/>
      <selection pane="bottomLeft" activeCell="A11" sqref="A11"/>
      <selection pane="bottomRight" activeCell="K503" sqref="K503"/>
    </sheetView>
  </sheetViews>
  <sheetFormatPr defaultRowHeight="15" customHeight="1" x14ac:dyDescent="0.15"/>
  <cols>
    <col min="1" max="1" width="17.77734375" style="3" customWidth="1"/>
    <col min="2" max="2" width="11.5546875" style="3" customWidth="1"/>
    <col min="3" max="3" width="14.77734375" style="3" hidden="1" customWidth="1"/>
    <col min="4" max="4" width="7.44140625" style="4" hidden="1" customWidth="1"/>
    <col min="5" max="5" width="0.6640625" style="5" hidden="1" customWidth="1"/>
    <col min="6" max="6" width="6" style="6" customWidth="1"/>
    <col min="7" max="7" width="11.77734375" style="7" customWidth="1"/>
    <col min="8" max="8" width="6.109375" style="6" customWidth="1"/>
    <col min="9" max="9" width="15.21875" style="7" customWidth="1"/>
    <col min="10" max="10" width="6" style="6" customWidth="1"/>
    <col min="11" max="11" width="11.77734375" style="7" customWidth="1"/>
    <col min="12" max="12" width="5.88671875" style="8" customWidth="1"/>
    <col min="13" max="13" width="11.77734375" style="7" customWidth="1"/>
    <col min="14" max="14" width="6.109375" style="8" customWidth="1"/>
    <col min="15" max="15" width="11.77734375" style="7" customWidth="1"/>
    <col min="16" max="17" width="11.5546875" style="1" bestFit="1" customWidth="1"/>
    <col min="18" max="19" width="8.88671875" style="2"/>
    <col min="20" max="16384" width="8.88671875" style="48"/>
  </cols>
  <sheetData>
    <row r="1" spans="1:19" ht="23.25" customHeight="1" x14ac:dyDescent="0.15">
      <c r="A1" s="23" t="s">
        <v>21</v>
      </c>
      <c r="B1" s="23"/>
      <c r="C1" s="23"/>
      <c r="D1" s="41"/>
      <c r="E1" s="44"/>
      <c r="F1" s="30"/>
      <c r="G1" s="31"/>
      <c r="H1" s="32"/>
      <c r="I1" s="31"/>
      <c r="J1" s="33"/>
      <c r="K1" s="31"/>
      <c r="L1" s="33"/>
      <c r="M1" s="31"/>
      <c r="N1" s="33"/>
      <c r="O1" s="31"/>
      <c r="P1" s="47"/>
      <c r="Q1" s="47"/>
      <c r="R1" s="48"/>
      <c r="S1" s="48"/>
    </row>
    <row r="2" spans="1:19" ht="18.75" customHeight="1" x14ac:dyDescent="0.15">
      <c r="A2" s="24" t="s">
        <v>35</v>
      </c>
      <c r="B2" s="24"/>
      <c r="C2" s="25"/>
      <c r="D2" s="42"/>
      <c r="E2" s="45"/>
      <c r="F2" s="30"/>
      <c r="G2" s="34"/>
      <c r="H2" s="35"/>
      <c r="I2" s="36"/>
      <c r="J2" s="37"/>
      <c r="K2" s="36"/>
      <c r="L2" s="37"/>
      <c r="M2" s="36"/>
      <c r="N2" s="37"/>
      <c r="O2" s="36"/>
      <c r="P2" s="47"/>
      <c r="Q2" s="47"/>
      <c r="R2" s="48"/>
      <c r="S2" s="48"/>
    </row>
    <row r="3" spans="1:19" s="26" customFormat="1" ht="7.5" customHeight="1" x14ac:dyDescent="0.15">
      <c r="D3" s="43"/>
      <c r="E3" s="46"/>
      <c r="F3" s="38"/>
      <c r="G3" s="39"/>
      <c r="H3" s="38"/>
      <c r="I3" s="39"/>
      <c r="J3" s="38"/>
      <c r="K3" s="39"/>
      <c r="L3" s="38"/>
      <c r="M3" s="39"/>
      <c r="N3" s="38"/>
      <c r="O3" s="40" t="s">
        <v>36</v>
      </c>
      <c r="P3" s="22"/>
      <c r="Q3" s="49"/>
    </row>
    <row r="4" spans="1:19" s="51" customFormat="1" ht="11.25" customHeight="1" x14ac:dyDescent="0.15">
      <c r="A4" s="168" t="s">
        <v>30</v>
      </c>
      <c r="B4" s="168"/>
      <c r="C4" s="168" t="s">
        <v>37</v>
      </c>
      <c r="D4" s="178" t="s">
        <v>38</v>
      </c>
      <c r="E4" s="179"/>
      <c r="F4" s="167" t="s">
        <v>0</v>
      </c>
      <c r="G4" s="167"/>
      <c r="H4" s="167" t="s">
        <v>1</v>
      </c>
      <c r="I4" s="167"/>
      <c r="J4" s="167" t="s">
        <v>2</v>
      </c>
      <c r="K4" s="167"/>
      <c r="L4" s="167" t="s">
        <v>3</v>
      </c>
      <c r="M4" s="167"/>
      <c r="N4" s="167" t="s">
        <v>39</v>
      </c>
      <c r="O4" s="167"/>
      <c r="P4" s="50"/>
      <c r="Q4" s="50"/>
    </row>
    <row r="5" spans="1:19" s="51" customFormat="1" ht="11.25" x14ac:dyDescent="0.15">
      <c r="A5" s="96" t="s">
        <v>40</v>
      </c>
      <c r="B5" s="168" t="s">
        <v>41</v>
      </c>
      <c r="C5" s="168"/>
      <c r="D5" s="180"/>
      <c r="E5" s="181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50"/>
      <c r="Q5" s="50"/>
    </row>
    <row r="6" spans="1:19" s="51" customFormat="1" ht="11.25" x14ac:dyDescent="0.15">
      <c r="A6" s="96" t="s">
        <v>42</v>
      </c>
      <c r="B6" s="168"/>
      <c r="C6" s="168"/>
      <c r="D6" s="182"/>
      <c r="E6" s="183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50"/>
      <c r="Q6" s="50"/>
    </row>
    <row r="7" spans="1:19" s="84" customFormat="1" ht="15" customHeight="1" x14ac:dyDescent="0.15">
      <c r="A7" s="169" t="s">
        <v>43</v>
      </c>
      <c r="B7" s="170"/>
      <c r="C7" s="171"/>
      <c r="D7" s="85" t="s">
        <v>44</v>
      </c>
      <c r="E7" s="86">
        <f>SUM(E11,E163,E487)</f>
        <v>0</v>
      </c>
      <c r="F7" s="76" t="s">
        <v>4</v>
      </c>
      <c r="G7" s="10">
        <f>SUM(G8:G10)</f>
        <v>134378151000</v>
      </c>
      <c r="H7" s="13" t="s">
        <v>4</v>
      </c>
      <c r="I7" s="10">
        <f>SUM(I8:I10)</f>
        <v>8689792000</v>
      </c>
      <c r="J7" s="13" t="s">
        <v>4</v>
      </c>
      <c r="K7" s="10">
        <f>SUM(K8:K10)</f>
        <v>8377623810</v>
      </c>
      <c r="L7" s="13" t="s">
        <v>4</v>
      </c>
      <c r="M7" s="10">
        <f>SUM(M8:M10)</f>
        <v>267032000</v>
      </c>
      <c r="N7" s="13" t="s">
        <v>4</v>
      </c>
      <c r="O7" s="10">
        <f>SUM(O8:O10)</f>
        <v>45136190</v>
      </c>
      <c r="P7" s="8"/>
      <c r="Q7" s="8"/>
      <c r="R7" s="6"/>
      <c r="S7" s="6"/>
    </row>
    <row r="8" spans="1:19" s="84" customFormat="1" ht="15" customHeight="1" x14ac:dyDescent="0.15">
      <c r="A8" s="172"/>
      <c r="B8" s="173"/>
      <c r="C8" s="174"/>
      <c r="D8" s="87" t="s">
        <v>45</v>
      </c>
      <c r="E8" s="88">
        <f>SUM(E12,E164,E488)</f>
        <v>28700000</v>
      </c>
      <c r="F8" s="74" t="s">
        <v>5</v>
      </c>
      <c r="G8" s="89">
        <f>SUM(G12,G164,G380,G488)</f>
        <v>104635693000</v>
      </c>
      <c r="H8" s="14" t="s">
        <v>5</v>
      </c>
      <c r="I8" s="89">
        <f>SUM(I12,I164,I380,I488)</f>
        <v>8328207000</v>
      </c>
      <c r="J8" s="14" t="s">
        <v>5</v>
      </c>
      <c r="K8" s="89">
        <f>SUM(K12,K164,K380,K488)</f>
        <v>8054471226</v>
      </c>
      <c r="L8" s="14" t="s">
        <v>5</v>
      </c>
      <c r="M8" s="89">
        <f>SUM(M12,M164,M380,M488)</f>
        <v>242032000</v>
      </c>
      <c r="N8" s="14" t="s">
        <v>5</v>
      </c>
      <c r="O8" s="89">
        <f>SUM(O12,O164,O380,O488)</f>
        <v>31703774</v>
      </c>
      <c r="P8" s="8"/>
      <c r="Q8" s="8"/>
      <c r="R8" s="6"/>
      <c r="S8" s="6"/>
    </row>
    <row r="9" spans="1:19" s="84" customFormat="1" ht="15" customHeight="1" x14ac:dyDescent="0.15">
      <c r="A9" s="172"/>
      <c r="B9" s="173"/>
      <c r="C9" s="174"/>
      <c r="D9" s="87" t="s">
        <v>46</v>
      </c>
      <c r="E9" s="88">
        <f>SUM(E13,E165,E489)</f>
        <v>0</v>
      </c>
      <c r="F9" s="74" t="s">
        <v>17</v>
      </c>
      <c r="G9" s="89">
        <f>SUM(G13,G165,G381,G489)</f>
        <v>27134161000</v>
      </c>
      <c r="H9" s="14" t="s">
        <v>17</v>
      </c>
      <c r="I9" s="89">
        <f>SUM(I13,I165,I381,I489)</f>
        <v>328917000</v>
      </c>
      <c r="J9" s="14" t="s">
        <v>17</v>
      </c>
      <c r="K9" s="89">
        <f>SUM(K13,K165,K381,K489)</f>
        <v>292468582</v>
      </c>
      <c r="L9" s="14" t="s">
        <v>17</v>
      </c>
      <c r="M9" s="89">
        <f>SUM(M13,M165,M381,M489)</f>
        <v>25000000</v>
      </c>
      <c r="N9" s="14" t="s">
        <v>17</v>
      </c>
      <c r="O9" s="89">
        <f>SUM(O13,O165,O381,O489)</f>
        <v>11448418</v>
      </c>
      <c r="P9" s="8"/>
      <c r="Q9" s="8"/>
      <c r="R9" s="6"/>
      <c r="S9" s="6"/>
    </row>
    <row r="10" spans="1:19" s="84" customFormat="1" ht="15" customHeight="1" x14ac:dyDescent="0.15">
      <c r="A10" s="175"/>
      <c r="B10" s="176"/>
      <c r="C10" s="177"/>
      <c r="D10" s="90" t="s">
        <v>47</v>
      </c>
      <c r="E10" s="91">
        <f>SUM(E14,E166,E490)</f>
        <v>0</v>
      </c>
      <c r="F10" s="75" t="s">
        <v>18</v>
      </c>
      <c r="G10" s="95">
        <f>SUM(G14,G166,G382,G490)</f>
        <v>2608297000</v>
      </c>
      <c r="H10" s="15" t="s">
        <v>18</v>
      </c>
      <c r="I10" s="95">
        <f>SUM(I14,I166,I382,I490)</f>
        <v>32668000</v>
      </c>
      <c r="J10" s="15" t="s">
        <v>18</v>
      </c>
      <c r="K10" s="95">
        <f>SUM(K14,K166,K382,K490)</f>
        <v>30684002</v>
      </c>
      <c r="L10" s="15" t="s">
        <v>18</v>
      </c>
      <c r="M10" s="95">
        <f>SUM(M14,M166,M382,M490)</f>
        <v>0</v>
      </c>
      <c r="N10" s="15" t="s">
        <v>18</v>
      </c>
      <c r="O10" s="95">
        <f>SUM(O14,O166,O382,O490)</f>
        <v>1983998</v>
      </c>
      <c r="P10" s="8"/>
      <c r="Q10" s="8"/>
      <c r="R10" s="6"/>
      <c r="S10" s="6"/>
    </row>
    <row r="11" spans="1:19" s="84" customFormat="1" ht="15" customHeight="1" x14ac:dyDescent="0.15">
      <c r="A11" s="160" t="s">
        <v>48</v>
      </c>
      <c r="B11" s="161"/>
      <c r="C11" s="162"/>
      <c r="D11" s="94" t="s">
        <v>44</v>
      </c>
      <c r="E11" s="65">
        <f>SUMIF(D31:D162,D11,E31:E162)</f>
        <v>0</v>
      </c>
      <c r="F11" s="77" t="s">
        <v>4</v>
      </c>
      <c r="G11" s="65">
        <f>SUM(G12:G14)</f>
        <v>101736495000</v>
      </c>
      <c r="H11" s="77" t="s">
        <v>4</v>
      </c>
      <c r="I11" s="65">
        <f>SUM(I12:I14)</f>
        <v>94166000</v>
      </c>
      <c r="J11" s="77" t="s">
        <v>4</v>
      </c>
      <c r="K11" s="65">
        <f>SUM(K12:K14)</f>
        <v>93994900</v>
      </c>
      <c r="L11" s="77" t="s">
        <v>4</v>
      </c>
      <c r="M11" s="65">
        <f>SUM(M12:M14)</f>
        <v>0</v>
      </c>
      <c r="N11" s="77" t="s">
        <v>4</v>
      </c>
      <c r="O11" s="65">
        <f>SUM(O12:O14)</f>
        <v>171100</v>
      </c>
      <c r="P11" s="8"/>
      <c r="Q11" s="8"/>
      <c r="R11" s="6"/>
      <c r="S11" s="6"/>
    </row>
    <row r="12" spans="1:19" s="84" customFormat="1" ht="15" customHeight="1" x14ac:dyDescent="0.15">
      <c r="A12" s="163"/>
      <c r="B12" s="164"/>
      <c r="C12" s="165"/>
      <c r="D12" s="92" t="s">
        <v>45</v>
      </c>
      <c r="E12" s="66">
        <f>SUMIF(D31:D162,D12,E31:E162)</f>
        <v>0</v>
      </c>
      <c r="F12" s="67" t="s">
        <v>5</v>
      </c>
      <c r="G12" s="66">
        <f>SUMIF(F15:F162,F12,G15:G162)</f>
        <v>81364414000</v>
      </c>
      <c r="H12" s="67" t="s">
        <v>5</v>
      </c>
      <c r="I12" s="66">
        <f>SUMIF(H15:H162,H12,I15:I162)</f>
        <v>47082000</v>
      </c>
      <c r="J12" s="67" t="s">
        <v>5</v>
      </c>
      <c r="K12" s="66">
        <f>SUMIF(J15:J162,J12,K15:K162)</f>
        <v>46996950</v>
      </c>
      <c r="L12" s="67" t="s">
        <v>5</v>
      </c>
      <c r="M12" s="66">
        <f>SUMIF(L15:L162,L12,M15:M162)</f>
        <v>0</v>
      </c>
      <c r="N12" s="67" t="s">
        <v>5</v>
      </c>
      <c r="O12" s="66">
        <f>SUMIF(N15:N162,N12,O15:O162)</f>
        <v>85050</v>
      </c>
      <c r="P12" s="8"/>
      <c r="Q12" s="8"/>
      <c r="R12" s="6"/>
      <c r="S12" s="6"/>
    </row>
    <row r="13" spans="1:19" s="84" customFormat="1" ht="15" customHeight="1" x14ac:dyDescent="0.15">
      <c r="A13" s="163"/>
      <c r="B13" s="164"/>
      <c r="C13" s="165"/>
      <c r="D13" s="92" t="s">
        <v>46</v>
      </c>
      <c r="E13" s="66">
        <f>SUMIF(D31:D162,D13,E31:E162)</f>
        <v>0</v>
      </c>
      <c r="F13" s="67" t="s">
        <v>17</v>
      </c>
      <c r="G13" s="66">
        <f>SUMIF(F16:F162,F13,G16:G162)</f>
        <v>19499216000</v>
      </c>
      <c r="H13" s="67" t="s">
        <v>17</v>
      </c>
      <c r="I13" s="66">
        <f>SUMIF(H16:H162,H13,I16:I162)</f>
        <v>47084000</v>
      </c>
      <c r="J13" s="67" t="s">
        <v>17</v>
      </c>
      <c r="K13" s="66">
        <f>SUMIF(J16:J162,J13,K16:K162)</f>
        <v>46997950</v>
      </c>
      <c r="L13" s="67" t="s">
        <v>17</v>
      </c>
      <c r="M13" s="66">
        <f>SUMIF(L16:L162,L13,M16:M162)</f>
        <v>0</v>
      </c>
      <c r="N13" s="67" t="s">
        <v>17</v>
      </c>
      <c r="O13" s="66">
        <f>SUMIF(N16:N162,N13,O16:O162)</f>
        <v>86050</v>
      </c>
      <c r="P13" s="8"/>
      <c r="Q13" s="8"/>
      <c r="R13" s="6"/>
      <c r="S13" s="6"/>
    </row>
    <row r="14" spans="1:19" s="84" customFormat="1" ht="15" customHeight="1" x14ac:dyDescent="0.15">
      <c r="A14" s="163"/>
      <c r="B14" s="164"/>
      <c r="C14" s="165"/>
      <c r="D14" s="93" t="s">
        <v>47</v>
      </c>
      <c r="E14" s="68">
        <f>SUMIF(D31:D162,D14,E31:E162)</f>
        <v>0</v>
      </c>
      <c r="F14" s="69" t="s">
        <v>18</v>
      </c>
      <c r="G14" s="66">
        <f>SUMIF(F17:F162,F14,G17:G162)</f>
        <v>872865000</v>
      </c>
      <c r="H14" s="69" t="s">
        <v>18</v>
      </c>
      <c r="I14" s="66">
        <f>SUMIF(H17:H162,H14,I17:I162)</f>
        <v>0</v>
      </c>
      <c r="J14" s="69" t="s">
        <v>18</v>
      </c>
      <c r="K14" s="66">
        <f>SUMIF(J17:J162,J14,K17:K162)</f>
        <v>0</v>
      </c>
      <c r="L14" s="69" t="s">
        <v>18</v>
      </c>
      <c r="M14" s="66">
        <f>SUMIF(L17:L162,L14,M17:M162)</f>
        <v>0</v>
      </c>
      <c r="N14" s="69" t="s">
        <v>18</v>
      </c>
      <c r="O14" s="66">
        <f>SUMIF(N17:N162,N14,O17:O162)</f>
        <v>0</v>
      </c>
      <c r="P14" s="8"/>
      <c r="Q14" s="8"/>
      <c r="R14" s="6"/>
      <c r="S14" s="6"/>
    </row>
    <row r="15" spans="1:19" s="29" customFormat="1" ht="15" customHeight="1" x14ac:dyDescent="0.15">
      <c r="A15" s="140" t="s">
        <v>49</v>
      </c>
      <c r="B15" s="139" t="s">
        <v>101</v>
      </c>
      <c r="C15" s="135"/>
      <c r="D15" s="61" t="s">
        <v>16</v>
      </c>
      <c r="E15" s="62"/>
      <c r="F15" s="63" t="s">
        <v>4</v>
      </c>
      <c r="G15" s="64">
        <f>SUM(G16:G18)</f>
        <v>89486214000</v>
      </c>
      <c r="H15" s="83" t="s">
        <v>4</v>
      </c>
      <c r="I15" s="64">
        <f>SUM(I16:I18)</f>
        <v>0</v>
      </c>
      <c r="J15" s="82" t="s">
        <v>4</v>
      </c>
      <c r="K15" s="64">
        <f>SUM(K16:K18)</f>
        <v>0</v>
      </c>
      <c r="L15" s="82" t="s">
        <v>4</v>
      </c>
      <c r="M15" s="64">
        <f>SUM(M16:M18)</f>
        <v>0</v>
      </c>
      <c r="N15" s="82" t="s">
        <v>4</v>
      </c>
      <c r="O15" s="64">
        <f>SUM(O16:O18)</f>
        <v>0</v>
      </c>
      <c r="P15" s="27"/>
      <c r="Q15" s="27"/>
      <c r="R15" s="28"/>
      <c r="S15" s="28"/>
    </row>
    <row r="16" spans="1:19" s="29" customFormat="1" ht="15" customHeight="1" x14ac:dyDescent="0.15">
      <c r="A16" s="140"/>
      <c r="B16" s="134"/>
      <c r="C16" s="136"/>
      <c r="D16" s="57" t="s">
        <v>45</v>
      </c>
      <c r="E16" s="58"/>
      <c r="F16" s="54" t="s">
        <v>5</v>
      </c>
      <c r="G16" s="78">
        <v>75857652000</v>
      </c>
      <c r="H16" s="54" t="s">
        <v>5</v>
      </c>
      <c r="I16" s="78"/>
      <c r="J16" s="52" t="s">
        <v>5</v>
      </c>
      <c r="K16" s="79"/>
      <c r="L16" s="52" t="s">
        <v>5</v>
      </c>
      <c r="M16" s="79"/>
      <c r="N16" s="70" t="s">
        <v>5</v>
      </c>
      <c r="O16" s="71">
        <f>I16-K16-M16</f>
        <v>0</v>
      </c>
      <c r="P16" s="27"/>
      <c r="Q16" s="27"/>
      <c r="R16" s="28"/>
      <c r="S16" s="28"/>
    </row>
    <row r="17" spans="1:19" s="29" customFormat="1" ht="15" customHeight="1" x14ac:dyDescent="0.15">
      <c r="A17" s="140" t="s">
        <v>100</v>
      </c>
      <c r="B17" s="134" t="s">
        <v>102</v>
      </c>
      <c r="C17" s="136"/>
      <c r="D17" s="57" t="s">
        <v>15</v>
      </c>
      <c r="E17" s="58"/>
      <c r="F17" s="55" t="s">
        <v>17</v>
      </c>
      <c r="G17" s="78">
        <v>13628562000</v>
      </c>
      <c r="H17" s="54" t="s">
        <v>17</v>
      </c>
      <c r="I17" s="78"/>
      <c r="J17" s="52" t="s">
        <v>17</v>
      </c>
      <c r="K17" s="79"/>
      <c r="L17" s="52" t="s">
        <v>17</v>
      </c>
      <c r="M17" s="79"/>
      <c r="N17" s="70" t="s">
        <v>17</v>
      </c>
      <c r="O17" s="71">
        <f>I17-K17-M17</f>
        <v>0</v>
      </c>
      <c r="P17" s="27"/>
      <c r="Q17" s="27"/>
      <c r="R17" s="28"/>
      <c r="S17" s="28"/>
    </row>
    <row r="18" spans="1:19" s="29" customFormat="1" ht="15" customHeight="1" x14ac:dyDescent="0.15">
      <c r="A18" s="140"/>
      <c r="B18" s="138"/>
      <c r="C18" s="137"/>
      <c r="D18" s="59" t="s">
        <v>47</v>
      </c>
      <c r="E18" s="60"/>
      <c r="F18" s="56" t="s">
        <v>18</v>
      </c>
      <c r="G18" s="80"/>
      <c r="H18" s="56" t="s">
        <v>18</v>
      </c>
      <c r="I18" s="80"/>
      <c r="J18" s="53" t="s">
        <v>18</v>
      </c>
      <c r="K18" s="81"/>
      <c r="L18" s="53" t="s">
        <v>18</v>
      </c>
      <c r="M18" s="81"/>
      <c r="N18" s="72" t="s">
        <v>18</v>
      </c>
      <c r="O18" s="73">
        <f>I18-K18-M18</f>
        <v>0</v>
      </c>
      <c r="P18" s="27"/>
      <c r="Q18" s="27"/>
      <c r="R18" s="28"/>
      <c r="S18" s="28"/>
    </row>
    <row r="19" spans="1:19" s="29" customFormat="1" ht="15" customHeight="1" x14ac:dyDescent="0.15">
      <c r="A19" s="140" t="s">
        <v>49</v>
      </c>
      <c r="B19" s="139" t="s">
        <v>97</v>
      </c>
      <c r="C19" s="135"/>
      <c r="D19" s="61" t="s">
        <v>16</v>
      </c>
      <c r="E19" s="62"/>
      <c r="F19" s="63" t="s">
        <v>4</v>
      </c>
      <c r="G19" s="64">
        <f>SUM(G20:G22)</f>
        <v>138245000</v>
      </c>
      <c r="H19" s="83" t="s">
        <v>4</v>
      </c>
      <c r="I19" s="64">
        <f>SUM(I20:I22)</f>
        <v>0</v>
      </c>
      <c r="J19" s="82" t="s">
        <v>4</v>
      </c>
      <c r="K19" s="64">
        <f>SUM(K20:K22)</f>
        <v>0</v>
      </c>
      <c r="L19" s="82" t="s">
        <v>4</v>
      </c>
      <c r="M19" s="64">
        <f>SUM(M20:M22)</f>
        <v>0</v>
      </c>
      <c r="N19" s="82" t="s">
        <v>4</v>
      </c>
      <c r="O19" s="64">
        <f>SUM(O20:O22)</f>
        <v>0</v>
      </c>
      <c r="P19" s="27"/>
      <c r="Q19" s="27"/>
      <c r="R19" s="28"/>
      <c r="S19" s="28"/>
    </row>
    <row r="20" spans="1:19" s="29" customFormat="1" ht="15" customHeight="1" x14ac:dyDescent="0.15">
      <c r="A20" s="140"/>
      <c r="B20" s="134"/>
      <c r="C20" s="136"/>
      <c r="D20" s="57" t="s">
        <v>45</v>
      </c>
      <c r="E20" s="58"/>
      <c r="F20" s="54" t="s">
        <v>5</v>
      </c>
      <c r="G20" s="78">
        <v>118061000</v>
      </c>
      <c r="H20" s="54" t="s">
        <v>5</v>
      </c>
      <c r="I20" s="78"/>
      <c r="J20" s="52" t="s">
        <v>5</v>
      </c>
      <c r="K20" s="79"/>
      <c r="L20" s="52" t="s">
        <v>5</v>
      </c>
      <c r="M20" s="79"/>
      <c r="N20" s="70" t="s">
        <v>5</v>
      </c>
      <c r="O20" s="71">
        <f>I20-K20-M20</f>
        <v>0</v>
      </c>
      <c r="P20" s="27"/>
      <c r="Q20" s="27"/>
      <c r="R20" s="28"/>
      <c r="S20" s="28"/>
    </row>
    <row r="21" spans="1:19" s="29" customFormat="1" ht="15" customHeight="1" x14ac:dyDescent="0.15">
      <c r="A21" s="140" t="s">
        <v>103</v>
      </c>
      <c r="B21" s="134" t="s">
        <v>104</v>
      </c>
      <c r="C21" s="136"/>
      <c r="D21" s="57" t="s">
        <v>15</v>
      </c>
      <c r="E21" s="58"/>
      <c r="F21" s="55" t="s">
        <v>17</v>
      </c>
      <c r="G21" s="78">
        <v>20184000</v>
      </c>
      <c r="H21" s="54" t="s">
        <v>17</v>
      </c>
      <c r="I21" s="78"/>
      <c r="J21" s="52" t="s">
        <v>17</v>
      </c>
      <c r="K21" s="79"/>
      <c r="L21" s="52" t="s">
        <v>17</v>
      </c>
      <c r="M21" s="79"/>
      <c r="N21" s="70" t="s">
        <v>17</v>
      </c>
      <c r="O21" s="71">
        <f>I21-K21-M21</f>
        <v>0</v>
      </c>
      <c r="P21" s="27"/>
      <c r="Q21" s="27"/>
      <c r="R21" s="28"/>
      <c r="S21" s="28"/>
    </row>
    <row r="22" spans="1:19" s="29" customFormat="1" ht="15" customHeight="1" x14ac:dyDescent="0.15">
      <c r="A22" s="140"/>
      <c r="B22" s="138"/>
      <c r="C22" s="137"/>
      <c r="D22" s="59" t="s">
        <v>47</v>
      </c>
      <c r="E22" s="60"/>
      <c r="F22" s="56" t="s">
        <v>18</v>
      </c>
      <c r="G22" s="80"/>
      <c r="H22" s="56" t="s">
        <v>18</v>
      </c>
      <c r="I22" s="80"/>
      <c r="J22" s="53" t="s">
        <v>18</v>
      </c>
      <c r="K22" s="81"/>
      <c r="L22" s="53" t="s">
        <v>18</v>
      </c>
      <c r="M22" s="81"/>
      <c r="N22" s="72" t="s">
        <v>18</v>
      </c>
      <c r="O22" s="73">
        <f>I22-K22-M22</f>
        <v>0</v>
      </c>
      <c r="P22" s="27"/>
      <c r="Q22" s="27"/>
      <c r="R22" s="28"/>
      <c r="S22" s="28"/>
    </row>
    <row r="23" spans="1:19" s="29" customFormat="1" ht="15" customHeight="1" x14ac:dyDescent="0.15">
      <c r="A23" s="140" t="s">
        <v>49</v>
      </c>
      <c r="B23" s="147" t="s">
        <v>94</v>
      </c>
      <c r="C23" s="135"/>
      <c r="D23" s="61" t="s">
        <v>16</v>
      </c>
      <c r="E23" s="62"/>
      <c r="F23" s="63" t="s">
        <v>4</v>
      </c>
      <c r="G23" s="64">
        <f>SUM(G24:G26)</f>
        <v>83551000</v>
      </c>
      <c r="H23" s="83" t="s">
        <v>4</v>
      </c>
      <c r="I23" s="64">
        <f>SUM(I24:I26)</f>
        <v>0</v>
      </c>
      <c r="J23" s="82" t="s">
        <v>4</v>
      </c>
      <c r="K23" s="64">
        <f>SUM(K24:K26)</f>
        <v>0</v>
      </c>
      <c r="L23" s="82" t="s">
        <v>4</v>
      </c>
      <c r="M23" s="64">
        <f>SUM(M24:M26)</f>
        <v>0</v>
      </c>
      <c r="N23" s="82" t="s">
        <v>4</v>
      </c>
      <c r="O23" s="64">
        <f>SUM(O24:O26)</f>
        <v>0</v>
      </c>
      <c r="P23" s="27"/>
      <c r="Q23" s="27"/>
      <c r="R23" s="28"/>
      <c r="S23" s="28"/>
    </row>
    <row r="24" spans="1:19" s="29" customFormat="1" ht="15" customHeight="1" x14ac:dyDescent="0.15">
      <c r="A24" s="140"/>
      <c r="B24" s="148"/>
      <c r="C24" s="136"/>
      <c r="D24" s="57" t="s">
        <v>45</v>
      </c>
      <c r="E24" s="58"/>
      <c r="F24" s="54" t="s">
        <v>5</v>
      </c>
      <c r="G24" s="78">
        <v>71353000</v>
      </c>
      <c r="H24" s="54" t="s">
        <v>5</v>
      </c>
      <c r="I24" s="78"/>
      <c r="J24" s="52" t="s">
        <v>5</v>
      </c>
      <c r="K24" s="79"/>
      <c r="L24" s="52" t="s">
        <v>5</v>
      </c>
      <c r="M24" s="79"/>
      <c r="N24" s="70" t="s">
        <v>5</v>
      </c>
      <c r="O24" s="71">
        <f>I24-K24-M24</f>
        <v>0</v>
      </c>
      <c r="P24" s="27"/>
      <c r="Q24" s="27"/>
      <c r="R24" s="28"/>
      <c r="S24" s="28"/>
    </row>
    <row r="25" spans="1:19" s="29" customFormat="1" ht="15" customHeight="1" x14ac:dyDescent="0.15">
      <c r="A25" s="140" t="s">
        <v>103</v>
      </c>
      <c r="B25" s="134" t="s">
        <v>95</v>
      </c>
      <c r="C25" s="136"/>
      <c r="D25" s="57" t="s">
        <v>15</v>
      </c>
      <c r="E25" s="58"/>
      <c r="F25" s="55" t="s">
        <v>17</v>
      </c>
      <c r="G25" s="78">
        <v>12198000</v>
      </c>
      <c r="H25" s="54" t="s">
        <v>17</v>
      </c>
      <c r="I25" s="78"/>
      <c r="J25" s="52" t="s">
        <v>17</v>
      </c>
      <c r="K25" s="79"/>
      <c r="L25" s="52" t="s">
        <v>17</v>
      </c>
      <c r="M25" s="79"/>
      <c r="N25" s="70" t="s">
        <v>17</v>
      </c>
      <c r="O25" s="71">
        <f>I25-K25-M25</f>
        <v>0</v>
      </c>
      <c r="P25" s="27"/>
      <c r="Q25" s="27"/>
      <c r="R25" s="28"/>
      <c r="S25" s="28"/>
    </row>
    <row r="26" spans="1:19" s="29" customFormat="1" ht="15" customHeight="1" x14ac:dyDescent="0.15">
      <c r="A26" s="140"/>
      <c r="B26" s="138"/>
      <c r="C26" s="137"/>
      <c r="D26" s="59" t="s">
        <v>47</v>
      </c>
      <c r="E26" s="60"/>
      <c r="F26" s="56" t="s">
        <v>18</v>
      </c>
      <c r="G26" s="80"/>
      <c r="H26" s="56" t="s">
        <v>18</v>
      </c>
      <c r="I26" s="80"/>
      <c r="J26" s="53" t="s">
        <v>18</v>
      </c>
      <c r="K26" s="79"/>
      <c r="L26" s="53" t="s">
        <v>18</v>
      </c>
      <c r="M26" s="81"/>
      <c r="N26" s="72" t="s">
        <v>18</v>
      </c>
      <c r="O26" s="73">
        <f>I26-K26-M26</f>
        <v>0</v>
      </c>
      <c r="P26" s="27"/>
      <c r="Q26" s="27"/>
      <c r="R26" s="28"/>
      <c r="S26" s="28"/>
    </row>
    <row r="27" spans="1:19" s="29" customFormat="1" ht="15" customHeight="1" x14ac:dyDescent="0.15">
      <c r="A27" s="140" t="s">
        <v>49</v>
      </c>
      <c r="B27" s="147" t="s">
        <v>101</v>
      </c>
      <c r="C27" s="135"/>
      <c r="D27" s="61" t="s">
        <v>16</v>
      </c>
      <c r="E27" s="62"/>
      <c r="F27" s="63" t="s">
        <v>4</v>
      </c>
      <c r="G27" s="64">
        <f>SUM(G28:G30)</f>
        <v>916400000</v>
      </c>
      <c r="H27" s="83" t="s">
        <v>4</v>
      </c>
      <c r="I27" s="64">
        <f>SUM(I28:I30)</f>
        <v>0</v>
      </c>
      <c r="J27" s="82" t="s">
        <v>4</v>
      </c>
      <c r="K27" s="64">
        <f>SUM(K28:K30)</f>
        <v>0</v>
      </c>
      <c r="L27" s="82" t="s">
        <v>4</v>
      </c>
      <c r="M27" s="64">
        <f>SUM(M28:M30)</f>
        <v>0</v>
      </c>
      <c r="N27" s="82" t="s">
        <v>4</v>
      </c>
      <c r="O27" s="64">
        <f>SUM(O28:O30)</f>
        <v>0</v>
      </c>
      <c r="P27" s="27"/>
      <c r="Q27" s="27"/>
      <c r="R27" s="28"/>
      <c r="S27" s="28"/>
    </row>
    <row r="28" spans="1:19" s="29" customFormat="1" ht="15" customHeight="1" x14ac:dyDescent="0.15">
      <c r="A28" s="140"/>
      <c r="B28" s="148"/>
      <c r="C28" s="136"/>
      <c r="D28" s="57" t="s">
        <v>45</v>
      </c>
      <c r="E28" s="58"/>
      <c r="F28" s="54" t="s">
        <v>5</v>
      </c>
      <c r="G28" s="18">
        <v>458200000</v>
      </c>
      <c r="H28" s="54" t="s">
        <v>5</v>
      </c>
      <c r="I28" s="78"/>
      <c r="J28" s="52" t="s">
        <v>5</v>
      </c>
      <c r="K28" s="79"/>
      <c r="L28" s="52" t="s">
        <v>5</v>
      </c>
      <c r="M28" s="79"/>
      <c r="N28" s="70" t="s">
        <v>5</v>
      </c>
      <c r="O28" s="71">
        <f>I28-K28-M28</f>
        <v>0</v>
      </c>
      <c r="P28" s="27"/>
      <c r="Q28" s="27"/>
      <c r="R28" s="28"/>
      <c r="S28" s="28"/>
    </row>
    <row r="29" spans="1:19" s="29" customFormat="1" ht="15" customHeight="1" x14ac:dyDescent="0.15">
      <c r="A29" s="140" t="s">
        <v>105</v>
      </c>
      <c r="B29" s="134" t="s">
        <v>102</v>
      </c>
      <c r="C29" s="136"/>
      <c r="D29" s="57" t="s">
        <v>15</v>
      </c>
      <c r="E29" s="58"/>
      <c r="F29" s="55" t="s">
        <v>17</v>
      </c>
      <c r="G29" s="78">
        <v>458200000</v>
      </c>
      <c r="H29" s="54" t="s">
        <v>17</v>
      </c>
      <c r="I29" s="78"/>
      <c r="J29" s="52" t="s">
        <v>17</v>
      </c>
      <c r="K29" s="79"/>
      <c r="L29" s="52" t="s">
        <v>17</v>
      </c>
      <c r="M29" s="79"/>
      <c r="N29" s="70" t="s">
        <v>17</v>
      </c>
      <c r="O29" s="71">
        <f>I29-K29-M29</f>
        <v>0</v>
      </c>
      <c r="P29" s="27"/>
      <c r="Q29" s="27"/>
      <c r="R29" s="28"/>
      <c r="S29" s="28"/>
    </row>
    <row r="30" spans="1:19" s="29" customFormat="1" ht="15" customHeight="1" x14ac:dyDescent="0.15">
      <c r="A30" s="140"/>
      <c r="B30" s="138"/>
      <c r="C30" s="137"/>
      <c r="D30" s="59" t="s">
        <v>47</v>
      </c>
      <c r="E30" s="60"/>
      <c r="F30" s="56" t="s">
        <v>18</v>
      </c>
      <c r="G30" s="80"/>
      <c r="H30" s="56" t="s">
        <v>18</v>
      </c>
      <c r="I30" s="80"/>
      <c r="J30" s="53" t="s">
        <v>18</v>
      </c>
      <c r="K30" s="79"/>
      <c r="L30" s="53" t="s">
        <v>18</v>
      </c>
      <c r="M30" s="81"/>
      <c r="N30" s="72" t="s">
        <v>18</v>
      </c>
      <c r="O30" s="73">
        <f>I30-K30-M30</f>
        <v>0</v>
      </c>
      <c r="P30" s="27"/>
      <c r="Q30" s="27"/>
      <c r="R30" s="28"/>
      <c r="S30" s="28"/>
    </row>
    <row r="31" spans="1:19" s="29" customFormat="1" ht="15" customHeight="1" x14ac:dyDescent="0.15">
      <c r="A31" s="140" t="s">
        <v>49</v>
      </c>
      <c r="B31" s="139" t="s">
        <v>28</v>
      </c>
      <c r="C31" s="135"/>
      <c r="D31" s="61" t="s">
        <v>44</v>
      </c>
      <c r="E31" s="62"/>
      <c r="F31" s="63" t="s">
        <v>4</v>
      </c>
      <c r="G31" s="64">
        <f>SUM(G32:G34)</f>
        <v>3378900000</v>
      </c>
      <c r="H31" s="83" t="s">
        <v>4</v>
      </c>
      <c r="I31" s="64">
        <f>SUM(I32:I34)</f>
        <v>0</v>
      </c>
      <c r="J31" s="82" t="s">
        <v>4</v>
      </c>
      <c r="K31" s="64">
        <f>SUM(K32:K34)</f>
        <v>0</v>
      </c>
      <c r="L31" s="82" t="s">
        <v>4</v>
      </c>
      <c r="M31" s="64">
        <f>SUM(M32:M34)</f>
        <v>0</v>
      </c>
      <c r="N31" s="82" t="s">
        <v>4</v>
      </c>
      <c r="O31" s="64">
        <f>SUM(O32:O34)</f>
        <v>0</v>
      </c>
      <c r="P31" s="27"/>
      <c r="Q31" s="27"/>
      <c r="R31" s="28"/>
      <c r="S31" s="28"/>
    </row>
    <row r="32" spans="1:19" s="29" customFormat="1" ht="15" customHeight="1" x14ac:dyDescent="0.15">
      <c r="A32" s="140"/>
      <c r="B32" s="134"/>
      <c r="C32" s="136"/>
      <c r="D32" s="57" t="s">
        <v>45</v>
      </c>
      <c r="E32" s="58"/>
      <c r="F32" s="54" t="s">
        <v>5</v>
      </c>
      <c r="G32" s="78"/>
      <c r="H32" s="54" t="s">
        <v>5</v>
      </c>
      <c r="I32" s="78"/>
      <c r="J32" s="52" t="s">
        <v>5</v>
      </c>
      <c r="K32" s="79"/>
      <c r="L32" s="52" t="s">
        <v>5</v>
      </c>
      <c r="M32" s="79"/>
      <c r="N32" s="70" t="s">
        <v>5</v>
      </c>
      <c r="O32" s="71">
        <f>I32-K32-M32</f>
        <v>0</v>
      </c>
      <c r="P32" s="27"/>
      <c r="Q32" s="27"/>
      <c r="R32" s="28"/>
      <c r="S32" s="28"/>
    </row>
    <row r="33" spans="1:19" s="29" customFormat="1" ht="15" customHeight="1" x14ac:dyDescent="0.15">
      <c r="A33" s="140" t="s">
        <v>10</v>
      </c>
      <c r="B33" s="134" t="s">
        <v>29</v>
      </c>
      <c r="C33" s="136"/>
      <c r="D33" s="57" t="s">
        <v>46</v>
      </c>
      <c r="E33" s="58"/>
      <c r="F33" s="55" t="s">
        <v>17</v>
      </c>
      <c r="G33" s="78">
        <v>3077500000</v>
      </c>
      <c r="H33" s="54" t="s">
        <v>17</v>
      </c>
      <c r="I33" s="78"/>
      <c r="J33" s="52" t="s">
        <v>17</v>
      </c>
      <c r="K33" s="79"/>
      <c r="L33" s="52" t="s">
        <v>17</v>
      </c>
      <c r="M33" s="79"/>
      <c r="N33" s="70" t="s">
        <v>17</v>
      </c>
      <c r="O33" s="71">
        <f>I33-K33-M33</f>
        <v>0</v>
      </c>
      <c r="P33" s="27"/>
      <c r="Q33" s="27"/>
      <c r="R33" s="28"/>
      <c r="S33" s="28"/>
    </row>
    <row r="34" spans="1:19" s="29" customFormat="1" ht="15" customHeight="1" x14ac:dyDescent="0.15">
      <c r="A34" s="140"/>
      <c r="B34" s="138"/>
      <c r="C34" s="137"/>
      <c r="D34" s="59" t="s">
        <v>47</v>
      </c>
      <c r="E34" s="60"/>
      <c r="F34" s="56" t="s">
        <v>18</v>
      </c>
      <c r="G34" s="80">
        <v>301400000</v>
      </c>
      <c r="H34" s="56" t="s">
        <v>18</v>
      </c>
      <c r="I34" s="80"/>
      <c r="J34" s="53" t="s">
        <v>18</v>
      </c>
      <c r="K34" s="81"/>
      <c r="L34" s="53" t="s">
        <v>18</v>
      </c>
      <c r="M34" s="81"/>
      <c r="N34" s="72" t="s">
        <v>18</v>
      </c>
      <c r="O34" s="73">
        <f>I34-K34-M34</f>
        <v>0</v>
      </c>
      <c r="P34" s="27"/>
      <c r="Q34" s="27"/>
      <c r="R34" s="28"/>
      <c r="S34" s="28"/>
    </row>
    <row r="35" spans="1:19" s="29" customFormat="1" ht="15" customHeight="1" x14ac:dyDescent="0.15">
      <c r="A35" s="140" t="s">
        <v>49</v>
      </c>
      <c r="B35" s="147" t="s">
        <v>50</v>
      </c>
      <c r="C35" s="135"/>
      <c r="D35" s="61" t="s">
        <v>44</v>
      </c>
      <c r="E35" s="62"/>
      <c r="F35" s="63" t="s">
        <v>4</v>
      </c>
      <c r="G35" s="64">
        <f>SUM(G36:G38)</f>
        <v>29154000</v>
      </c>
      <c r="H35" s="83" t="s">
        <v>4</v>
      </c>
      <c r="I35" s="64">
        <f>SUM(I36:I38)</f>
        <v>0</v>
      </c>
      <c r="J35" s="82" t="s">
        <v>4</v>
      </c>
      <c r="K35" s="64">
        <f>SUM(K36:K38)</f>
        <v>0</v>
      </c>
      <c r="L35" s="82" t="s">
        <v>4</v>
      </c>
      <c r="M35" s="64">
        <f>SUM(M36:M38)</f>
        <v>0</v>
      </c>
      <c r="N35" s="82" t="s">
        <v>4</v>
      </c>
      <c r="O35" s="64">
        <f>SUM(O36:O38)</f>
        <v>0</v>
      </c>
      <c r="P35" s="27"/>
      <c r="Q35" s="27"/>
      <c r="R35" s="28"/>
      <c r="S35" s="28"/>
    </row>
    <row r="36" spans="1:19" s="29" customFormat="1" ht="15" customHeight="1" x14ac:dyDescent="0.15">
      <c r="A36" s="140"/>
      <c r="B36" s="148"/>
      <c r="C36" s="136"/>
      <c r="D36" s="57" t="s">
        <v>45</v>
      </c>
      <c r="E36" s="58"/>
      <c r="F36" s="54" t="s">
        <v>5</v>
      </c>
      <c r="G36" s="78"/>
      <c r="H36" s="54" t="s">
        <v>5</v>
      </c>
      <c r="I36" s="78"/>
      <c r="J36" s="52" t="s">
        <v>5</v>
      </c>
      <c r="K36" s="79"/>
      <c r="L36" s="52" t="s">
        <v>5</v>
      </c>
      <c r="M36" s="79"/>
      <c r="N36" s="70" t="s">
        <v>5</v>
      </c>
      <c r="O36" s="71">
        <f>I36-K36-M36</f>
        <v>0</v>
      </c>
      <c r="P36" s="27"/>
      <c r="Q36" s="27"/>
      <c r="R36" s="28"/>
      <c r="S36" s="28"/>
    </row>
    <row r="37" spans="1:19" s="29" customFormat="1" ht="15" customHeight="1" x14ac:dyDescent="0.15">
      <c r="A37" s="140" t="s">
        <v>106</v>
      </c>
      <c r="B37" s="134" t="s">
        <v>51</v>
      </c>
      <c r="C37" s="136"/>
      <c r="D37" s="57" t="s">
        <v>46</v>
      </c>
      <c r="E37" s="58"/>
      <c r="F37" s="55" t="s">
        <v>17</v>
      </c>
      <c r="G37" s="78">
        <v>16482000</v>
      </c>
      <c r="H37" s="54" t="s">
        <v>17</v>
      </c>
      <c r="I37" s="78"/>
      <c r="J37" s="52" t="s">
        <v>17</v>
      </c>
      <c r="K37" s="79"/>
      <c r="L37" s="52" t="s">
        <v>17</v>
      </c>
      <c r="M37" s="79"/>
      <c r="N37" s="70" t="s">
        <v>17</v>
      </c>
      <c r="O37" s="71">
        <f>I37-K37-M37</f>
        <v>0</v>
      </c>
      <c r="P37" s="27"/>
      <c r="Q37" s="27"/>
      <c r="R37" s="28"/>
      <c r="S37" s="28"/>
    </row>
    <row r="38" spans="1:19" s="29" customFormat="1" ht="15" customHeight="1" x14ac:dyDescent="0.15">
      <c r="A38" s="140"/>
      <c r="B38" s="138"/>
      <c r="C38" s="137"/>
      <c r="D38" s="59" t="s">
        <v>47</v>
      </c>
      <c r="E38" s="60"/>
      <c r="F38" s="56" t="s">
        <v>18</v>
      </c>
      <c r="G38" s="80">
        <v>12672000</v>
      </c>
      <c r="H38" s="56" t="s">
        <v>18</v>
      </c>
      <c r="I38" s="80"/>
      <c r="J38" s="53" t="s">
        <v>18</v>
      </c>
      <c r="K38" s="79"/>
      <c r="L38" s="53" t="s">
        <v>18</v>
      </c>
      <c r="M38" s="81"/>
      <c r="N38" s="72" t="s">
        <v>18</v>
      </c>
      <c r="O38" s="73">
        <f>I38-K38-M38</f>
        <v>0</v>
      </c>
      <c r="P38" s="27"/>
      <c r="Q38" s="27"/>
      <c r="R38" s="28"/>
      <c r="S38" s="28"/>
    </row>
    <row r="39" spans="1:19" s="29" customFormat="1" ht="15" customHeight="1" x14ac:dyDescent="0.15">
      <c r="A39" s="140" t="s">
        <v>49</v>
      </c>
      <c r="B39" s="147" t="s">
        <v>50</v>
      </c>
      <c r="C39" s="135"/>
      <c r="D39" s="61" t="s">
        <v>44</v>
      </c>
      <c r="E39" s="62"/>
      <c r="F39" s="63" t="s">
        <v>4</v>
      </c>
      <c r="G39" s="64">
        <f>SUM(G40:G42)</f>
        <v>31120000</v>
      </c>
      <c r="H39" s="83" t="s">
        <v>4</v>
      </c>
      <c r="I39" s="64">
        <f>SUM(I40:I42)</f>
        <v>0</v>
      </c>
      <c r="J39" s="82" t="s">
        <v>4</v>
      </c>
      <c r="K39" s="64">
        <f>SUM(K40:K42)</f>
        <v>0</v>
      </c>
      <c r="L39" s="82" t="s">
        <v>4</v>
      </c>
      <c r="M39" s="64">
        <f>SUM(M40:M42)</f>
        <v>0</v>
      </c>
      <c r="N39" s="82" t="s">
        <v>4</v>
      </c>
      <c r="O39" s="64">
        <f>SUM(O40:O42)</f>
        <v>0</v>
      </c>
      <c r="P39" s="27"/>
      <c r="Q39" s="27"/>
      <c r="R39" s="28"/>
      <c r="S39" s="28"/>
    </row>
    <row r="40" spans="1:19" s="29" customFormat="1" ht="15" customHeight="1" x14ac:dyDescent="0.15">
      <c r="A40" s="140"/>
      <c r="B40" s="148"/>
      <c r="C40" s="136"/>
      <c r="D40" s="57" t="s">
        <v>45</v>
      </c>
      <c r="E40" s="58"/>
      <c r="F40" s="54" t="s">
        <v>5</v>
      </c>
      <c r="G40" s="18"/>
      <c r="H40" s="54" t="s">
        <v>5</v>
      </c>
      <c r="I40" s="78"/>
      <c r="J40" s="52" t="s">
        <v>5</v>
      </c>
      <c r="K40" s="79"/>
      <c r="L40" s="52" t="s">
        <v>5</v>
      </c>
      <c r="M40" s="79"/>
      <c r="N40" s="70" t="s">
        <v>5</v>
      </c>
      <c r="O40" s="71">
        <f>I40-K40-M40</f>
        <v>0</v>
      </c>
      <c r="P40" s="27"/>
      <c r="Q40" s="27"/>
      <c r="R40" s="28"/>
      <c r="S40" s="28"/>
    </row>
    <row r="41" spans="1:19" s="29" customFormat="1" ht="15" customHeight="1" x14ac:dyDescent="0.15">
      <c r="A41" s="140" t="s">
        <v>107</v>
      </c>
      <c r="B41" s="134" t="s">
        <v>51</v>
      </c>
      <c r="C41" s="136"/>
      <c r="D41" s="57" t="s">
        <v>46</v>
      </c>
      <c r="E41" s="58"/>
      <c r="F41" s="55" t="s">
        <v>17</v>
      </c>
      <c r="G41" s="78">
        <v>11120000</v>
      </c>
      <c r="H41" s="54" t="s">
        <v>17</v>
      </c>
      <c r="I41" s="78"/>
      <c r="J41" s="52" t="s">
        <v>17</v>
      </c>
      <c r="K41" s="79"/>
      <c r="L41" s="52" t="s">
        <v>17</v>
      </c>
      <c r="M41" s="79"/>
      <c r="N41" s="70" t="s">
        <v>17</v>
      </c>
      <c r="O41" s="71">
        <f>I41-K41-M41</f>
        <v>0</v>
      </c>
      <c r="P41" s="27"/>
      <c r="Q41" s="27"/>
      <c r="R41" s="28"/>
      <c r="S41" s="28"/>
    </row>
    <row r="42" spans="1:19" s="29" customFormat="1" ht="15" customHeight="1" x14ac:dyDescent="0.15">
      <c r="A42" s="140"/>
      <c r="B42" s="138"/>
      <c r="C42" s="137"/>
      <c r="D42" s="59" t="s">
        <v>47</v>
      </c>
      <c r="E42" s="60"/>
      <c r="F42" s="56" t="s">
        <v>18</v>
      </c>
      <c r="G42" s="80">
        <v>20000000</v>
      </c>
      <c r="H42" s="56" t="s">
        <v>18</v>
      </c>
      <c r="I42" s="80"/>
      <c r="J42" s="53" t="s">
        <v>18</v>
      </c>
      <c r="K42" s="79"/>
      <c r="L42" s="53" t="s">
        <v>18</v>
      </c>
      <c r="M42" s="81"/>
      <c r="N42" s="72" t="s">
        <v>18</v>
      </c>
      <c r="O42" s="73">
        <f>I42-K42-M42</f>
        <v>0</v>
      </c>
      <c r="P42" s="27"/>
      <c r="Q42" s="27"/>
      <c r="R42" s="28"/>
      <c r="S42" s="28"/>
    </row>
    <row r="43" spans="1:19" s="29" customFormat="1" ht="15" customHeight="1" x14ac:dyDescent="0.15">
      <c r="A43" s="140" t="s">
        <v>49</v>
      </c>
      <c r="B43" s="147" t="s">
        <v>50</v>
      </c>
      <c r="C43" s="135"/>
      <c r="D43" s="61" t="s">
        <v>44</v>
      </c>
      <c r="E43" s="62"/>
      <c r="F43" s="63" t="s">
        <v>4</v>
      </c>
      <c r="G43" s="64">
        <f>SUM(G44:G46)</f>
        <v>379194000</v>
      </c>
      <c r="H43" s="83" t="s">
        <v>4</v>
      </c>
      <c r="I43" s="64">
        <f>SUM(I44:I46)</f>
        <v>0</v>
      </c>
      <c r="J43" s="82" t="s">
        <v>4</v>
      </c>
      <c r="K43" s="64">
        <f>SUM(K44:K46)</f>
        <v>0</v>
      </c>
      <c r="L43" s="82" t="s">
        <v>4</v>
      </c>
      <c r="M43" s="64">
        <f>SUM(M44:M46)</f>
        <v>0</v>
      </c>
      <c r="N43" s="82" t="s">
        <v>4</v>
      </c>
      <c r="O43" s="64">
        <f>SUM(O44:O46)</f>
        <v>0</v>
      </c>
      <c r="P43" s="27"/>
      <c r="Q43" s="27"/>
      <c r="R43" s="28"/>
      <c r="S43" s="28"/>
    </row>
    <row r="44" spans="1:19" s="29" customFormat="1" ht="15" customHeight="1" x14ac:dyDescent="0.15">
      <c r="A44" s="140"/>
      <c r="B44" s="148"/>
      <c r="C44" s="136"/>
      <c r="D44" s="57" t="s">
        <v>45</v>
      </c>
      <c r="E44" s="58"/>
      <c r="F44" s="54" t="s">
        <v>5</v>
      </c>
      <c r="G44" s="18">
        <v>379194000</v>
      </c>
      <c r="H44" s="54" t="s">
        <v>5</v>
      </c>
      <c r="I44" s="78"/>
      <c r="J44" s="52" t="s">
        <v>5</v>
      </c>
      <c r="K44" s="79"/>
      <c r="L44" s="52" t="s">
        <v>5</v>
      </c>
      <c r="M44" s="79"/>
      <c r="N44" s="70" t="s">
        <v>5</v>
      </c>
      <c r="O44" s="71">
        <f>I44-K44-M44</f>
        <v>0</v>
      </c>
      <c r="P44" s="27"/>
      <c r="Q44" s="27"/>
      <c r="R44" s="28"/>
      <c r="S44" s="28"/>
    </row>
    <row r="45" spans="1:19" s="29" customFormat="1" ht="15" customHeight="1" x14ac:dyDescent="0.15">
      <c r="A45" s="140" t="s">
        <v>52</v>
      </c>
      <c r="B45" s="134" t="s">
        <v>51</v>
      </c>
      <c r="C45" s="136"/>
      <c r="D45" s="57" t="s">
        <v>46</v>
      </c>
      <c r="E45" s="58"/>
      <c r="F45" s="55" t="s">
        <v>17</v>
      </c>
      <c r="G45" s="78"/>
      <c r="H45" s="54" t="s">
        <v>17</v>
      </c>
      <c r="I45" s="78"/>
      <c r="J45" s="52" t="s">
        <v>17</v>
      </c>
      <c r="K45" s="79"/>
      <c r="L45" s="52" t="s">
        <v>17</v>
      </c>
      <c r="M45" s="79"/>
      <c r="N45" s="70" t="s">
        <v>17</v>
      </c>
      <c r="O45" s="71">
        <f>I45-K45-M45</f>
        <v>0</v>
      </c>
      <c r="P45" s="27"/>
      <c r="Q45" s="27"/>
      <c r="R45" s="28"/>
      <c r="S45" s="28"/>
    </row>
    <row r="46" spans="1:19" s="29" customFormat="1" ht="15" customHeight="1" x14ac:dyDescent="0.15">
      <c r="A46" s="150"/>
      <c r="B46" s="138"/>
      <c r="C46" s="136"/>
      <c r="D46" s="59" t="s">
        <v>47</v>
      </c>
      <c r="E46" s="60"/>
      <c r="F46" s="56" t="s">
        <v>18</v>
      </c>
      <c r="G46" s="80"/>
      <c r="H46" s="56" t="s">
        <v>18</v>
      </c>
      <c r="I46" s="80"/>
      <c r="J46" s="53" t="s">
        <v>18</v>
      </c>
      <c r="K46" s="81"/>
      <c r="L46" s="53" t="s">
        <v>18</v>
      </c>
      <c r="M46" s="81"/>
      <c r="N46" s="72" t="s">
        <v>18</v>
      </c>
      <c r="O46" s="73">
        <f>I46-K46-M46</f>
        <v>0</v>
      </c>
      <c r="P46" s="27"/>
      <c r="Q46" s="27"/>
      <c r="R46" s="28"/>
      <c r="S46" s="28"/>
    </row>
    <row r="47" spans="1:19" s="29" customFormat="1" ht="15" customHeight="1" x14ac:dyDescent="0.15">
      <c r="A47" s="140" t="s">
        <v>49</v>
      </c>
      <c r="B47" s="147" t="s">
        <v>53</v>
      </c>
      <c r="C47" s="135"/>
      <c r="D47" s="61" t="s">
        <v>44</v>
      </c>
      <c r="E47" s="62"/>
      <c r="F47" s="63" t="s">
        <v>4</v>
      </c>
      <c r="G47" s="64">
        <f>SUM(G48:G50)</f>
        <v>1445000000</v>
      </c>
      <c r="H47" s="83" t="s">
        <v>4</v>
      </c>
      <c r="I47" s="64">
        <f>SUM(I48:I50)</f>
        <v>0</v>
      </c>
      <c r="J47" s="82" t="s">
        <v>4</v>
      </c>
      <c r="K47" s="64">
        <f>SUM(K48:K50)</f>
        <v>0</v>
      </c>
      <c r="L47" s="82" t="s">
        <v>4</v>
      </c>
      <c r="M47" s="64">
        <f>SUM(M48:M50)</f>
        <v>0</v>
      </c>
      <c r="N47" s="82" t="s">
        <v>4</v>
      </c>
      <c r="O47" s="64">
        <f>SUM(O48:O50)</f>
        <v>0</v>
      </c>
      <c r="P47" s="27"/>
      <c r="Q47" s="27"/>
      <c r="R47" s="28"/>
      <c r="S47" s="28"/>
    </row>
    <row r="48" spans="1:19" s="29" customFormat="1" ht="15" customHeight="1" x14ac:dyDescent="0.15">
      <c r="A48" s="140"/>
      <c r="B48" s="148"/>
      <c r="C48" s="136"/>
      <c r="D48" s="57" t="s">
        <v>45</v>
      </c>
      <c r="E48" s="58"/>
      <c r="F48" s="54" t="s">
        <v>5</v>
      </c>
      <c r="G48" s="78"/>
      <c r="H48" s="54" t="s">
        <v>5</v>
      </c>
      <c r="I48" s="78"/>
      <c r="J48" s="52" t="s">
        <v>5</v>
      </c>
      <c r="K48" s="79"/>
      <c r="L48" s="52" t="s">
        <v>5</v>
      </c>
      <c r="M48" s="79"/>
      <c r="N48" s="70" t="s">
        <v>5</v>
      </c>
      <c r="O48" s="71">
        <f>I48-K48-M48</f>
        <v>0</v>
      </c>
      <c r="P48" s="27"/>
      <c r="Q48" s="27"/>
      <c r="R48" s="28"/>
      <c r="S48" s="28"/>
    </row>
    <row r="49" spans="1:19" s="29" customFormat="1" ht="15" customHeight="1" x14ac:dyDescent="0.15">
      <c r="A49" s="140" t="s">
        <v>54</v>
      </c>
      <c r="B49" s="148" t="s">
        <v>55</v>
      </c>
      <c r="C49" s="136"/>
      <c r="D49" s="57" t="s">
        <v>46</v>
      </c>
      <c r="E49" s="58"/>
      <c r="F49" s="55" t="s">
        <v>17</v>
      </c>
      <c r="G49" s="78">
        <v>1428000000</v>
      </c>
      <c r="H49" s="54" t="s">
        <v>17</v>
      </c>
      <c r="I49" s="78"/>
      <c r="J49" s="52" t="s">
        <v>17</v>
      </c>
      <c r="K49" s="79"/>
      <c r="L49" s="52" t="s">
        <v>17</v>
      </c>
      <c r="M49" s="79"/>
      <c r="N49" s="70" t="s">
        <v>17</v>
      </c>
      <c r="O49" s="71">
        <f>I49-K49-M49</f>
        <v>0</v>
      </c>
      <c r="P49" s="27"/>
      <c r="Q49" s="27"/>
      <c r="R49" s="28"/>
      <c r="S49" s="28"/>
    </row>
    <row r="50" spans="1:19" s="29" customFormat="1" ht="15" customHeight="1" x14ac:dyDescent="0.15">
      <c r="A50" s="140"/>
      <c r="B50" s="148"/>
      <c r="C50" s="136"/>
      <c r="D50" s="59" t="s">
        <v>47</v>
      </c>
      <c r="E50" s="60"/>
      <c r="F50" s="98" t="s">
        <v>18</v>
      </c>
      <c r="G50" s="20">
        <v>17000000</v>
      </c>
      <c r="H50" s="56" t="s">
        <v>18</v>
      </c>
      <c r="I50" s="80"/>
      <c r="J50" s="53" t="s">
        <v>18</v>
      </c>
      <c r="K50" s="80"/>
      <c r="L50" s="53" t="s">
        <v>18</v>
      </c>
      <c r="M50" s="81"/>
      <c r="N50" s="72" t="s">
        <v>18</v>
      </c>
      <c r="O50" s="73">
        <f>I50-K50-M50</f>
        <v>0</v>
      </c>
      <c r="P50" s="27"/>
      <c r="Q50" s="27"/>
      <c r="R50" s="28"/>
      <c r="S50" s="28"/>
    </row>
    <row r="51" spans="1:19" s="29" customFormat="1" ht="15" customHeight="1" x14ac:dyDescent="0.15">
      <c r="A51" s="140" t="s">
        <v>49</v>
      </c>
      <c r="B51" s="147" t="s">
        <v>53</v>
      </c>
      <c r="C51" s="135"/>
      <c r="D51" s="61" t="s">
        <v>44</v>
      </c>
      <c r="E51" s="62"/>
      <c r="F51" s="63" t="s">
        <v>4</v>
      </c>
      <c r="G51" s="64">
        <f>SUM(G52:G54)</f>
        <v>104400000</v>
      </c>
      <c r="H51" s="83" t="s">
        <v>4</v>
      </c>
      <c r="I51" s="64">
        <f>SUM(I52:I54)</f>
        <v>0</v>
      </c>
      <c r="J51" s="82" t="s">
        <v>4</v>
      </c>
      <c r="K51" s="64">
        <f>SUM(K52:K54)</f>
        <v>0</v>
      </c>
      <c r="L51" s="82" t="s">
        <v>4</v>
      </c>
      <c r="M51" s="64">
        <f>SUM(M52:M54)</f>
        <v>0</v>
      </c>
      <c r="N51" s="82" t="s">
        <v>4</v>
      </c>
      <c r="O51" s="64">
        <f>SUM(O52:O54)</f>
        <v>0</v>
      </c>
      <c r="P51" s="27"/>
      <c r="Q51" s="27"/>
      <c r="R51" s="28"/>
      <c r="S51" s="28"/>
    </row>
    <row r="52" spans="1:19" s="29" customFormat="1" ht="15" customHeight="1" x14ac:dyDescent="0.15">
      <c r="A52" s="140"/>
      <c r="B52" s="148"/>
      <c r="C52" s="136"/>
      <c r="D52" s="57" t="s">
        <v>45</v>
      </c>
      <c r="E52" s="58"/>
      <c r="F52" s="54" t="s">
        <v>5</v>
      </c>
      <c r="G52" s="78"/>
      <c r="H52" s="54" t="s">
        <v>5</v>
      </c>
      <c r="I52" s="78"/>
      <c r="J52" s="52" t="s">
        <v>5</v>
      </c>
      <c r="K52" s="79"/>
      <c r="L52" s="52" t="s">
        <v>5</v>
      </c>
      <c r="M52" s="79"/>
      <c r="N52" s="70" t="s">
        <v>5</v>
      </c>
      <c r="O52" s="71">
        <f>I52-K52-M52</f>
        <v>0</v>
      </c>
      <c r="P52" s="27"/>
      <c r="Q52" s="27"/>
      <c r="R52" s="28"/>
      <c r="S52" s="28"/>
    </row>
    <row r="53" spans="1:19" s="29" customFormat="1" ht="15" customHeight="1" x14ac:dyDescent="0.15">
      <c r="A53" s="140" t="s">
        <v>56</v>
      </c>
      <c r="B53" s="148" t="s">
        <v>55</v>
      </c>
      <c r="C53" s="136"/>
      <c r="D53" s="57" t="s">
        <v>46</v>
      </c>
      <c r="E53" s="58"/>
      <c r="F53" s="55" t="s">
        <v>17</v>
      </c>
      <c r="G53" s="78">
        <v>104400000</v>
      </c>
      <c r="H53" s="54" t="s">
        <v>17</v>
      </c>
      <c r="I53" s="78"/>
      <c r="J53" s="52" t="s">
        <v>17</v>
      </c>
      <c r="K53" s="79"/>
      <c r="L53" s="52" t="s">
        <v>17</v>
      </c>
      <c r="M53" s="79"/>
      <c r="N53" s="70" t="s">
        <v>17</v>
      </c>
      <c r="O53" s="71">
        <f>I53-K53-M53</f>
        <v>0</v>
      </c>
      <c r="P53" s="27"/>
      <c r="Q53" s="27"/>
      <c r="R53" s="28"/>
      <c r="S53" s="28"/>
    </row>
    <row r="54" spans="1:19" s="29" customFormat="1" ht="15" customHeight="1" x14ac:dyDescent="0.15">
      <c r="A54" s="140"/>
      <c r="B54" s="148"/>
      <c r="C54" s="136"/>
      <c r="D54" s="59" t="s">
        <v>47</v>
      </c>
      <c r="E54" s="60"/>
      <c r="F54" s="56" t="s">
        <v>18</v>
      </c>
      <c r="G54" s="80"/>
      <c r="H54" s="56" t="s">
        <v>18</v>
      </c>
      <c r="I54" s="80"/>
      <c r="J54" s="53" t="s">
        <v>18</v>
      </c>
      <c r="K54" s="81"/>
      <c r="L54" s="53" t="s">
        <v>18</v>
      </c>
      <c r="M54" s="81"/>
      <c r="N54" s="72" t="s">
        <v>18</v>
      </c>
      <c r="O54" s="73">
        <f>I54-K54-M54</f>
        <v>0</v>
      </c>
      <c r="P54" s="27"/>
      <c r="Q54" s="27"/>
      <c r="R54" s="28"/>
      <c r="S54" s="28"/>
    </row>
    <row r="55" spans="1:19" s="29" customFormat="1" ht="15" customHeight="1" x14ac:dyDescent="0.15">
      <c r="A55" s="140" t="s">
        <v>49</v>
      </c>
      <c r="B55" s="147" t="s">
        <v>31</v>
      </c>
      <c r="C55" s="135"/>
      <c r="D55" s="61" t="s">
        <v>44</v>
      </c>
      <c r="E55" s="62"/>
      <c r="F55" s="63" t="s">
        <v>4</v>
      </c>
      <c r="G55" s="64">
        <f>SUM(G56:G58)</f>
        <v>15137000</v>
      </c>
      <c r="H55" s="83" t="s">
        <v>4</v>
      </c>
      <c r="I55" s="64">
        <f>SUM(I56:I58)</f>
        <v>0</v>
      </c>
      <c r="J55" s="82" t="s">
        <v>4</v>
      </c>
      <c r="K55" s="64">
        <f>SUM(K56:K58)</f>
        <v>0</v>
      </c>
      <c r="L55" s="82" t="s">
        <v>4</v>
      </c>
      <c r="M55" s="64">
        <f>SUM(M56:M58)</f>
        <v>0</v>
      </c>
      <c r="N55" s="82" t="s">
        <v>4</v>
      </c>
      <c r="O55" s="64">
        <f>SUM(O56:O58)</f>
        <v>0</v>
      </c>
      <c r="P55" s="27"/>
      <c r="Q55" s="27"/>
      <c r="R55" s="28"/>
      <c r="S55" s="28"/>
    </row>
    <row r="56" spans="1:19" s="29" customFormat="1" ht="15" customHeight="1" x14ac:dyDescent="0.15">
      <c r="A56" s="140"/>
      <c r="B56" s="148"/>
      <c r="C56" s="136"/>
      <c r="D56" s="57" t="s">
        <v>45</v>
      </c>
      <c r="E56" s="58"/>
      <c r="F56" s="54" t="s">
        <v>5</v>
      </c>
      <c r="G56" s="78"/>
      <c r="H56" s="54" t="s">
        <v>5</v>
      </c>
      <c r="I56" s="78"/>
      <c r="J56" s="52" t="s">
        <v>5</v>
      </c>
      <c r="K56" s="79"/>
      <c r="L56" s="52" t="s">
        <v>5</v>
      </c>
      <c r="M56" s="79"/>
      <c r="N56" s="70" t="s">
        <v>5</v>
      </c>
      <c r="O56" s="71">
        <f>I56-K56-M56</f>
        <v>0</v>
      </c>
      <c r="P56" s="27"/>
      <c r="Q56" s="27"/>
      <c r="R56" s="28"/>
      <c r="S56" s="28"/>
    </row>
    <row r="57" spans="1:19" s="29" customFormat="1" ht="15" customHeight="1" x14ac:dyDescent="0.15">
      <c r="A57" s="140" t="s">
        <v>57</v>
      </c>
      <c r="B57" s="148" t="s">
        <v>32</v>
      </c>
      <c r="C57" s="136"/>
      <c r="D57" s="57" t="s">
        <v>46</v>
      </c>
      <c r="E57" s="58"/>
      <c r="F57" s="55" t="s">
        <v>17</v>
      </c>
      <c r="G57" s="78">
        <v>15137000</v>
      </c>
      <c r="H57" s="54" t="s">
        <v>17</v>
      </c>
      <c r="I57" s="78"/>
      <c r="J57" s="52" t="s">
        <v>17</v>
      </c>
      <c r="K57" s="79"/>
      <c r="L57" s="52" t="s">
        <v>17</v>
      </c>
      <c r="M57" s="79"/>
      <c r="N57" s="70" t="s">
        <v>17</v>
      </c>
      <c r="O57" s="71">
        <f>I57-K57-M57</f>
        <v>0</v>
      </c>
      <c r="P57" s="27"/>
      <c r="Q57" s="27"/>
      <c r="R57" s="28"/>
      <c r="S57" s="28"/>
    </row>
    <row r="58" spans="1:19" s="29" customFormat="1" ht="15" customHeight="1" x14ac:dyDescent="0.15">
      <c r="A58" s="140"/>
      <c r="B58" s="148"/>
      <c r="C58" s="136"/>
      <c r="D58" s="59" t="s">
        <v>47</v>
      </c>
      <c r="E58" s="60"/>
      <c r="F58" s="56" t="s">
        <v>18</v>
      </c>
      <c r="G58" s="80"/>
      <c r="H58" s="56" t="s">
        <v>18</v>
      </c>
      <c r="I58" s="80"/>
      <c r="J58" s="53" t="s">
        <v>18</v>
      </c>
      <c r="K58" s="81"/>
      <c r="L58" s="53" t="s">
        <v>18</v>
      </c>
      <c r="M58" s="81"/>
      <c r="N58" s="72" t="s">
        <v>18</v>
      </c>
      <c r="O58" s="73">
        <f>I58-K58-M58</f>
        <v>0</v>
      </c>
      <c r="P58" s="27"/>
      <c r="Q58" s="27"/>
      <c r="R58" s="28"/>
      <c r="S58" s="28"/>
    </row>
    <row r="59" spans="1:19" s="29" customFormat="1" ht="15" customHeight="1" x14ac:dyDescent="0.15">
      <c r="A59" s="140" t="s">
        <v>49</v>
      </c>
      <c r="B59" s="147" t="s">
        <v>24</v>
      </c>
      <c r="C59" s="135"/>
      <c r="D59" s="61" t="s">
        <v>44</v>
      </c>
      <c r="E59" s="62"/>
      <c r="F59" s="63" t="s">
        <v>4</v>
      </c>
      <c r="G59" s="64">
        <f>SUM(G60:G62)</f>
        <v>1056000</v>
      </c>
      <c r="H59" s="83" t="s">
        <v>4</v>
      </c>
      <c r="I59" s="64">
        <f>SUM(I60:I62)</f>
        <v>0</v>
      </c>
      <c r="J59" s="82" t="s">
        <v>4</v>
      </c>
      <c r="K59" s="64">
        <f>SUM(K60:K62)</f>
        <v>0</v>
      </c>
      <c r="L59" s="82" t="s">
        <v>4</v>
      </c>
      <c r="M59" s="64">
        <f>SUM(M60:M62)</f>
        <v>0</v>
      </c>
      <c r="N59" s="82" t="s">
        <v>4</v>
      </c>
      <c r="O59" s="64">
        <f>SUM(O60:O62)</f>
        <v>0</v>
      </c>
      <c r="P59" s="27"/>
      <c r="Q59" s="27"/>
      <c r="R59" s="28"/>
      <c r="S59" s="28"/>
    </row>
    <row r="60" spans="1:19" s="29" customFormat="1" ht="15" customHeight="1" x14ac:dyDescent="0.15">
      <c r="A60" s="140"/>
      <c r="B60" s="148"/>
      <c r="C60" s="136"/>
      <c r="D60" s="57" t="s">
        <v>45</v>
      </c>
      <c r="E60" s="58"/>
      <c r="F60" s="100" t="s">
        <v>5</v>
      </c>
      <c r="G60" s="18"/>
      <c r="H60" s="100" t="s">
        <v>5</v>
      </c>
      <c r="I60" s="18"/>
      <c r="J60" s="99" t="s">
        <v>5</v>
      </c>
      <c r="K60" s="19"/>
      <c r="L60" s="99" t="s">
        <v>5</v>
      </c>
      <c r="M60" s="19"/>
      <c r="N60" s="70" t="s">
        <v>5</v>
      </c>
      <c r="O60" s="71">
        <f>I60-K60-M60</f>
        <v>0</v>
      </c>
      <c r="P60" s="27"/>
      <c r="Q60" s="27"/>
      <c r="R60" s="28"/>
      <c r="S60" s="28"/>
    </row>
    <row r="61" spans="1:19" s="29" customFormat="1" ht="15" customHeight="1" x14ac:dyDescent="0.15">
      <c r="A61" s="140" t="s">
        <v>57</v>
      </c>
      <c r="B61" s="148" t="s">
        <v>25</v>
      </c>
      <c r="C61" s="136"/>
      <c r="D61" s="57" t="s">
        <v>46</v>
      </c>
      <c r="E61" s="58"/>
      <c r="F61" s="101" t="s">
        <v>17</v>
      </c>
      <c r="G61" s="18">
        <v>1056000</v>
      </c>
      <c r="H61" s="100" t="s">
        <v>17</v>
      </c>
      <c r="I61" s="18"/>
      <c r="J61" s="99" t="s">
        <v>17</v>
      </c>
      <c r="K61" s="19"/>
      <c r="L61" s="99" t="s">
        <v>17</v>
      </c>
      <c r="M61" s="19"/>
      <c r="N61" s="70" t="s">
        <v>17</v>
      </c>
      <c r="O61" s="71">
        <f>I61-K61-M61</f>
        <v>0</v>
      </c>
      <c r="P61" s="27"/>
      <c r="Q61" s="27"/>
      <c r="R61" s="28"/>
      <c r="S61" s="28"/>
    </row>
    <row r="62" spans="1:19" s="29" customFormat="1" ht="15" customHeight="1" x14ac:dyDescent="0.15">
      <c r="A62" s="140"/>
      <c r="B62" s="148"/>
      <c r="C62" s="136"/>
      <c r="D62" s="59" t="s">
        <v>47</v>
      </c>
      <c r="E62" s="60"/>
      <c r="F62" s="98" t="s">
        <v>18</v>
      </c>
      <c r="G62" s="18"/>
      <c r="H62" s="98" t="s">
        <v>18</v>
      </c>
      <c r="I62" s="20"/>
      <c r="J62" s="97" t="s">
        <v>18</v>
      </c>
      <c r="K62" s="21"/>
      <c r="L62" s="97" t="s">
        <v>18</v>
      </c>
      <c r="M62" s="21"/>
      <c r="N62" s="72" t="s">
        <v>18</v>
      </c>
      <c r="O62" s="73">
        <f>I62-K62-M62</f>
        <v>0</v>
      </c>
      <c r="P62" s="27"/>
      <c r="Q62" s="27"/>
      <c r="R62" s="28"/>
      <c r="S62" s="28"/>
    </row>
    <row r="63" spans="1:19" s="29" customFormat="1" ht="15" customHeight="1" x14ac:dyDescent="0.15">
      <c r="A63" s="140" t="s">
        <v>49</v>
      </c>
      <c r="B63" s="147" t="s">
        <v>109</v>
      </c>
      <c r="C63" s="135"/>
      <c r="D63" s="61" t="s">
        <v>44</v>
      </c>
      <c r="E63" s="62"/>
      <c r="F63" s="63" t="s">
        <v>4</v>
      </c>
      <c r="G63" s="64">
        <f>SUM(G64:G66)</f>
        <v>41880000</v>
      </c>
      <c r="H63" s="83" t="s">
        <v>4</v>
      </c>
      <c r="I63" s="64">
        <f>SUM(I64:I66)</f>
        <v>0</v>
      </c>
      <c r="J63" s="82" t="s">
        <v>4</v>
      </c>
      <c r="K63" s="64">
        <f>SUM(K64:K66)</f>
        <v>0</v>
      </c>
      <c r="L63" s="82" t="s">
        <v>4</v>
      </c>
      <c r="M63" s="64">
        <f>SUM(M64:M66)</f>
        <v>0</v>
      </c>
      <c r="N63" s="82" t="s">
        <v>4</v>
      </c>
      <c r="O63" s="64">
        <f>SUM(O64:O66)</f>
        <v>0</v>
      </c>
      <c r="P63" s="27"/>
      <c r="Q63" s="27"/>
      <c r="R63" s="28"/>
      <c r="S63" s="28"/>
    </row>
    <row r="64" spans="1:19" s="29" customFormat="1" ht="15" customHeight="1" x14ac:dyDescent="0.15">
      <c r="A64" s="140"/>
      <c r="B64" s="148"/>
      <c r="C64" s="136"/>
      <c r="D64" s="57" t="s">
        <v>45</v>
      </c>
      <c r="E64" s="58"/>
      <c r="F64" s="100" t="s">
        <v>5</v>
      </c>
      <c r="G64" s="18"/>
      <c r="H64" s="100" t="s">
        <v>5</v>
      </c>
      <c r="I64" s="18"/>
      <c r="J64" s="99" t="s">
        <v>5</v>
      </c>
      <c r="K64" s="19"/>
      <c r="L64" s="99" t="s">
        <v>5</v>
      </c>
      <c r="M64" s="19"/>
      <c r="N64" s="70" t="s">
        <v>5</v>
      </c>
      <c r="O64" s="71">
        <f>I64-K64-M64</f>
        <v>0</v>
      </c>
      <c r="P64" s="27"/>
      <c r="Q64" s="27"/>
      <c r="R64" s="28"/>
      <c r="S64" s="28"/>
    </row>
    <row r="65" spans="1:19" s="29" customFormat="1" ht="15" customHeight="1" x14ac:dyDescent="0.15">
      <c r="A65" s="140" t="s">
        <v>108</v>
      </c>
      <c r="B65" s="148" t="s">
        <v>110</v>
      </c>
      <c r="C65" s="136"/>
      <c r="D65" s="57" t="s">
        <v>46</v>
      </c>
      <c r="E65" s="58"/>
      <c r="F65" s="101" t="s">
        <v>17</v>
      </c>
      <c r="G65" s="18">
        <v>29316000</v>
      </c>
      <c r="H65" s="100" t="s">
        <v>17</v>
      </c>
      <c r="I65" s="18"/>
      <c r="J65" s="99" t="s">
        <v>17</v>
      </c>
      <c r="K65" s="19"/>
      <c r="L65" s="99" t="s">
        <v>17</v>
      </c>
      <c r="M65" s="19"/>
      <c r="N65" s="70" t="s">
        <v>17</v>
      </c>
      <c r="O65" s="71">
        <f>I65-K65-M65</f>
        <v>0</v>
      </c>
      <c r="P65" s="27"/>
      <c r="Q65" s="27"/>
      <c r="R65" s="28"/>
      <c r="S65" s="28"/>
    </row>
    <row r="66" spans="1:19" s="29" customFormat="1" ht="15" customHeight="1" x14ac:dyDescent="0.15">
      <c r="A66" s="140"/>
      <c r="B66" s="148"/>
      <c r="C66" s="136"/>
      <c r="D66" s="59" t="s">
        <v>47</v>
      </c>
      <c r="E66" s="60"/>
      <c r="F66" s="98" t="s">
        <v>18</v>
      </c>
      <c r="G66" s="18">
        <v>12564000</v>
      </c>
      <c r="H66" s="98" t="s">
        <v>18</v>
      </c>
      <c r="I66" s="20"/>
      <c r="J66" s="97" t="s">
        <v>18</v>
      </c>
      <c r="K66" s="21"/>
      <c r="L66" s="97" t="s">
        <v>18</v>
      </c>
      <c r="M66" s="21"/>
      <c r="N66" s="72" t="s">
        <v>18</v>
      </c>
      <c r="O66" s="73">
        <f>I66-K66-M66</f>
        <v>0</v>
      </c>
      <c r="P66" s="27"/>
      <c r="Q66" s="27"/>
      <c r="R66" s="28"/>
      <c r="S66" s="28"/>
    </row>
    <row r="67" spans="1:19" s="29" customFormat="1" ht="15" customHeight="1" x14ac:dyDescent="0.15">
      <c r="A67" s="140" t="s">
        <v>49</v>
      </c>
      <c r="B67" s="147" t="s">
        <v>111</v>
      </c>
      <c r="C67" s="135"/>
      <c r="D67" s="61" t="s">
        <v>44</v>
      </c>
      <c r="E67" s="62"/>
      <c r="F67" s="63" t="s">
        <v>4</v>
      </c>
      <c r="G67" s="64">
        <f>SUM(G68:G70)</f>
        <v>3000000</v>
      </c>
      <c r="H67" s="83" t="s">
        <v>4</v>
      </c>
      <c r="I67" s="64">
        <f>SUM(I68:I70)</f>
        <v>0</v>
      </c>
      <c r="J67" s="82" t="s">
        <v>4</v>
      </c>
      <c r="K67" s="64">
        <f>SUM(K68:K70)</f>
        <v>0</v>
      </c>
      <c r="L67" s="82" t="s">
        <v>4</v>
      </c>
      <c r="M67" s="64">
        <f>SUM(M68:M70)</f>
        <v>0</v>
      </c>
      <c r="N67" s="82" t="s">
        <v>4</v>
      </c>
      <c r="O67" s="64">
        <f>SUM(O68:O70)</f>
        <v>0</v>
      </c>
      <c r="P67" s="27"/>
      <c r="Q67" s="27"/>
      <c r="R67" s="28"/>
      <c r="S67" s="28"/>
    </row>
    <row r="68" spans="1:19" s="29" customFormat="1" ht="15" customHeight="1" x14ac:dyDescent="0.15">
      <c r="A68" s="140"/>
      <c r="B68" s="148"/>
      <c r="C68" s="136"/>
      <c r="D68" s="57" t="s">
        <v>45</v>
      </c>
      <c r="E68" s="58"/>
      <c r="F68" s="100" t="s">
        <v>5</v>
      </c>
      <c r="G68" s="18"/>
      <c r="H68" s="100" t="s">
        <v>5</v>
      </c>
      <c r="I68" s="18"/>
      <c r="J68" s="99" t="s">
        <v>5</v>
      </c>
      <c r="K68" s="19"/>
      <c r="L68" s="99" t="s">
        <v>5</v>
      </c>
      <c r="M68" s="19"/>
      <c r="N68" s="70" t="s">
        <v>5</v>
      </c>
      <c r="O68" s="71">
        <f>I68-K68-M68</f>
        <v>0</v>
      </c>
      <c r="P68" s="27"/>
      <c r="Q68" s="27"/>
      <c r="R68" s="28"/>
      <c r="S68" s="28"/>
    </row>
    <row r="69" spans="1:19" s="29" customFormat="1" ht="15" customHeight="1" x14ac:dyDescent="0.15">
      <c r="A69" s="140" t="s">
        <v>108</v>
      </c>
      <c r="B69" s="148" t="s">
        <v>59</v>
      </c>
      <c r="C69" s="136"/>
      <c r="D69" s="57" t="s">
        <v>46</v>
      </c>
      <c r="E69" s="58"/>
      <c r="F69" s="101" t="s">
        <v>17</v>
      </c>
      <c r="G69" s="18">
        <v>2100000</v>
      </c>
      <c r="H69" s="100" t="s">
        <v>17</v>
      </c>
      <c r="I69" s="18"/>
      <c r="J69" s="99" t="s">
        <v>17</v>
      </c>
      <c r="K69" s="19"/>
      <c r="L69" s="99" t="s">
        <v>17</v>
      </c>
      <c r="M69" s="19"/>
      <c r="N69" s="70" t="s">
        <v>17</v>
      </c>
      <c r="O69" s="71">
        <f>I69-K69-M69</f>
        <v>0</v>
      </c>
      <c r="P69" s="27"/>
      <c r="Q69" s="27"/>
      <c r="R69" s="28"/>
      <c r="S69" s="28"/>
    </row>
    <row r="70" spans="1:19" s="29" customFormat="1" ht="15" customHeight="1" x14ac:dyDescent="0.15">
      <c r="A70" s="140"/>
      <c r="B70" s="148"/>
      <c r="C70" s="136"/>
      <c r="D70" s="59" t="s">
        <v>47</v>
      </c>
      <c r="E70" s="60"/>
      <c r="F70" s="98" t="s">
        <v>18</v>
      </c>
      <c r="G70" s="20">
        <v>900000</v>
      </c>
      <c r="H70" s="98" t="s">
        <v>18</v>
      </c>
      <c r="I70" s="20"/>
      <c r="J70" s="97" t="s">
        <v>18</v>
      </c>
      <c r="K70" s="21"/>
      <c r="L70" s="97" t="s">
        <v>18</v>
      </c>
      <c r="M70" s="21"/>
      <c r="N70" s="72" t="s">
        <v>18</v>
      </c>
      <c r="O70" s="73">
        <f>I70-K70-M70</f>
        <v>0</v>
      </c>
      <c r="P70" s="27"/>
      <c r="Q70" s="27"/>
      <c r="R70" s="28"/>
      <c r="S70" s="28"/>
    </row>
    <row r="71" spans="1:19" s="29" customFormat="1" ht="15" customHeight="1" x14ac:dyDescent="0.15">
      <c r="A71" s="140" t="s">
        <v>49</v>
      </c>
      <c r="B71" s="147" t="s">
        <v>99</v>
      </c>
      <c r="C71" s="135"/>
      <c r="D71" s="61" t="s">
        <v>16</v>
      </c>
      <c r="E71" s="62"/>
      <c r="F71" s="63" t="s">
        <v>4</v>
      </c>
      <c r="G71" s="64">
        <f>SUM(G72:G74)</f>
        <v>5980000</v>
      </c>
      <c r="H71" s="83" t="s">
        <v>4</v>
      </c>
      <c r="I71" s="64">
        <f>SUM(I72:I74)</f>
        <v>0</v>
      </c>
      <c r="J71" s="82" t="s">
        <v>4</v>
      </c>
      <c r="K71" s="64">
        <f>SUM(K72:K74)</f>
        <v>0</v>
      </c>
      <c r="L71" s="82" t="s">
        <v>4</v>
      </c>
      <c r="M71" s="64">
        <f>SUM(M72:M74)</f>
        <v>0</v>
      </c>
      <c r="N71" s="82" t="s">
        <v>4</v>
      </c>
      <c r="O71" s="64">
        <f>SUM(O72:O74)</f>
        <v>0</v>
      </c>
      <c r="P71" s="27"/>
      <c r="Q71" s="27"/>
      <c r="R71" s="28"/>
      <c r="S71" s="28"/>
    </row>
    <row r="72" spans="1:19" s="29" customFormat="1" ht="15" customHeight="1" x14ac:dyDescent="0.15">
      <c r="A72" s="140"/>
      <c r="B72" s="148"/>
      <c r="C72" s="136"/>
      <c r="D72" s="57" t="s">
        <v>45</v>
      </c>
      <c r="E72" s="58"/>
      <c r="F72" s="100" t="s">
        <v>5</v>
      </c>
      <c r="G72" s="18"/>
      <c r="H72" s="100" t="s">
        <v>5</v>
      </c>
      <c r="I72" s="18"/>
      <c r="J72" s="99" t="s">
        <v>5</v>
      </c>
      <c r="K72" s="19"/>
      <c r="L72" s="99" t="s">
        <v>5</v>
      </c>
      <c r="M72" s="19"/>
      <c r="N72" s="70" t="s">
        <v>5</v>
      </c>
      <c r="O72" s="71">
        <f>I72-K72-M72</f>
        <v>0</v>
      </c>
      <c r="P72" s="27"/>
      <c r="Q72" s="27"/>
      <c r="R72" s="28"/>
      <c r="S72" s="28"/>
    </row>
    <row r="73" spans="1:19" s="29" customFormat="1" ht="15" customHeight="1" x14ac:dyDescent="0.15">
      <c r="A73" s="140" t="s">
        <v>108</v>
      </c>
      <c r="B73" s="148" t="s">
        <v>96</v>
      </c>
      <c r="C73" s="136"/>
      <c r="D73" s="57" t="s">
        <v>15</v>
      </c>
      <c r="E73" s="58"/>
      <c r="F73" s="101" t="s">
        <v>17</v>
      </c>
      <c r="G73" s="18">
        <v>4186000</v>
      </c>
      <c r="H73" s="100" t="s">
        <v>17</v>
      </c>
      <c r="I73" s="18"/>
      <c r="J73" s="99" t="s">
        <v>17</v>
      </c>
      <c r="K73" s="19"/>
      <c r="L73" s="99" t="s">
        <v>17</v>
      </c>
      <c r="M73" s="19"/>
      <c r="N73" s="70" t="s">
        <v>17</v>
      </c>
      <c r="O73" s="71">
        <f>I73-K73-M73</f>
        <v>0</v>
      </c>
      <c r="P73" s="27"/>
      <c r="Q73" s="27"/>
      <c r="R73" s="28"/>
      <c r="S73" s="28"/>
    </row>
    <row r="74" spans="1:19" s="29" customFormat="1" ht="15" customHeight="1" x14ac:dyDescent="0.15">
      <c r="A74" s="140"/>
      <c r="B74" s="148"/>
      <c r="C74" s="136"/>
      <c r="D74" s="59" t="s">
        <v>47</v>
      </c>
      <c r="E74" s="60"/>
      <c r="F74" s="98" t="s">
        <v>18</v>
      </c>
      <c r="G74" s="20">
        <v>1794000</v>
      </c>
      <c r="H74" s="98" t="s">
        <v>18</v>
      </c>
      <c r="I74" s="20"/>
      <c r="J74" s="97" t="s">
        <v>18</v>
      </c>
      <c r="K74" s="21"/>
      <c r="L74" s="97" t="s">
        <v>18</v>
      </c>
      <c r="M74" s="21"/>
      <c r="N74" s="72" t="s">
        <v>18</v>
      </c>
      <c r="O74" s="73">
        <f>I74-K74-M74</f>
        <v>0</v>
      </c>
      <c r="P74" s="27"/>
      <c r="Q74" s="27"/>
      <c r="R74" s="28"/>
      <c r="S74" s="28"/>
    </row>
    <row r="75" spans="1:19" s="29" customFormat="1" ht="15" customHeight="1" x14ac:dyDescent="0.15">
      <c r="A75" s="140" t="s">
        <v>49</v>
      </c>
      <c r="B75" s="147" t="s">
        <v>90</v>
      </c>
      <c r="C75" s="135"/>
      <c r="D75" s="61" t="s">
        <v>16</v>
      </c>
      <c r="E75" s="62"/>
      <c r="F75" s="63" t="s">
        <v>4</v>
      </c>
      <c r="G75" s="64">
        <f>SUM(G76:G78)</f>
        <v>9140000</v>
      </c>
      <c r="H75" s="83" t="s">
        <v>4</v>
      </c>
      <c r="I75" s="64">
        <f>SUM(I76:I78)</f>
        <v>0</v>
      </c>
      <c r="J75" s="82" t="s">
        <v>4</v>
      </c>
      <c r="K75" s="64">
        <f>SUM(K76:K78)</f>
        <v>0</v>
      </c>
      <c r="L75" s="82" t="s">
        <v>4</v>
      </c>
      <c r="M75" s="64">
        <f>SUM(M76:M78)</f>
        <v>0</v>
      </c>
      <c r="N75" s="82" t="s">
        <v>4</v>
      </c>
      <c r="O75" s="64">
        <f>SUM(O76:O78)</f>
        <v>0</v>
      </c>
      <c r="P75" s="27"/>
      <c r="Q75" s="27"/>
      <c r="R75" s="28"/>
      <c r="S75" s="28"/>
    </row>
    <row r="76" spans="1:19" s="29" customFormat="1" ht="15" customHeight="1" x14ac:dyDescent="0.15">
      <c r="A76" s="140"/>
      <c r="B76" s="148"/>
      <c r="C76" s="136"/>
      <c r="D76" s="57" t="s">
        <v>45</v>
      </c>
      <c r="E76" s="58"/>
      <c r="F76" s="100" t="s">
        <v>5</v>
      </c>
      <c r="G76" s="18"/>
      <c r="H76" s="100" t="s">
        <v>5</v>
      </c>
      <c r="I76" s="18"/>
      <c r="J76" s="99" t="s">
        <v>5</v>
      </c>
      <c r="K76" s="19"/>
      <c r="L76" s="99" t="s">
        <v>5</v>
      </c>
      <c r="M76" s="19"/>
      <c r="N76" s="70" t="s">
        <v>5</v>
      </c>
      <c r="O76" s="71">
        <f>I76-K76-M76</f>
        <v>0</v>
      </c>
      <c r="P76" s="27"/>
      <c r="Q76" s="27"/>
      <c r="R76" s="28"/>
      <c r="S76" s="28"/>
    </row>
    <row r="77" spans="1:19" s="29" customFormat="1" ht="15" customHeight="1" x14ac:dyDescent="0.15">
      <c r="A77" s="140" t="s">
        <v>108</v>
      </c>
      <c r="B77" s="148" t="s">
        <v>91</v>
      </c>
      <c r="C77" s="136"/>
      <c r="D77" s="57" t="s">
        <v>15</v>
      </c>
      <c r="E77" s="58"/>
      <c r="F77" s="101" t="s">
        <v>17</v>
      </c>
      <c r="G77" s="18">
        <v>6398000</v>
      </c>
      <c r="H77" s="100" t="s">
        <v>17</v>
      </c>
      <c r="I77" s="18"/>
      <c r="J77" s="99" t="s">
        <v>17</v>
      </c>
      <c r="K77" s="19"/>
      <c r="L77" s="99" t="s">
        <v>17</v>
      </c>
      <c r="M77" s="19"/>
      <c r="N77" s="70" t="s">
        <v>17</v>
      </c>
      <c r="O77" s="71">
        <f>I77-K77-M77</f>
        <v>0</v>
      </c>
      <c r="P77" s="27"/>
      <c r="Q77" s="27"/>
      <c r="R77" s="28"/>
      <c r="S77" s="28"/>
    </row>
    <row r="78" spans="1:19" s="29" customFormat="1" ht="15" customHeight="1" x14ac:dyDescent="0.15">
      <c r="A78" s="140"/>
      <c r="B78" s="148"/>
      <c r="C78" s="136"/>
      <c r="D78" s="59" t="s">
        <v>47</v>
      </c>
      <c r="E78" s="60"/>
      <c r="F78" s="98" t="s">
        <v>18</v>
      </c>
      <c r="G78" s="20">
        <v>2742000</v>
      </c>
      <c r="H78" s="98" t="s">
        <v>18</v>
      </c>
      <c r="I78" s="20"/>
      <c r="J78" s="97" t="s">
        <v>18</v>
      </c>
      <c r="K78" s="21"/>
      <c r="L78" s="97" t="s">
        <v>18</v>
      </c>
      <c r="M78" s="21"/>
      <c r="N78" s="72" t="s">
        <v>18</v>
      </c>
      <c r="O78" s="73">
        <f>I78-K78-M78</f>
        <v>0</v>
      </c>
      <c r="P78" s="27"/>
      <c r="Q78" s="27"/>
      <c r="R78" s="28"/>
      <c r="S78" s="28"/>
    </row>
    <row r="79" spans="1:19" s="29" customFormat="1" ht="15" customHeight="1" x14ac:dyDescent="0.15">
      <c r="A79" s="140" t="s">
        <v>49</v>
      </c>
      <c r="B79" s="147" t="s">
        <v>94</v>
      </c>
      <c r="C79" s="135"/>
      <c r="D79" s="61" t="s">
        <v>16</v>
      </c>
      <c r="E79" s="62"/>
      <c r="F79" s="63" t="s">
        <v>4</v>
      </c>
      <c r="G79" s="64">
        <f>SUM(G80:G82)</f>
        <v>67200000</v>
      </c>
      <c r="H79" s="83" t="s">
        <v>4</v>
      </c>
      <c r="I79" s="64">
        <f>SUM(I80:I82)</f>
        <v>0</v>
      </c>
      <c r="J79" s="82" t="s">
        <v>4</v>
      </c>
      <c r="K79" s="64">
        <f>SUM(K80:K82)</f>
        <v>0</v>
      </c>
      <c r="L79" s="82" t="s">
        <v>4</v>
      </c>
      <c r="M79" s="64">
        <f>SUM(M80:M82)</f>
        <v>0</v>
      </c>
      <c r="N79" s="82" t="s">
        <v>4</v>
      </c>
      <c r="O79" s="64">
        <f>SUM(O80:O82)</f>
        <v>0</v>
      </c>
      <c r="P79" s="27"/>
      <c r="Q79" s="27"/>
      <c r="R79" s="28"/>
      <c r="S79" s="28"/>
    </row>
    <row r="80" spans="1:19" s="29" customFormat="1" ht="15" customHeight="1" x14ac:dyDescent="0.15">
      <c r="A80" s="140"/>
      <c r="B80" s="148"/>
      <c r="C80" s="136"/>
      <c r="D80" s="57" t="s">
        <v>45</v>
      </c>
      <c r="E80" s="58"/>
      <c r="F80" s="100" t="s">
        <v>5</v>
      </c>
      <c r="G80" s="18">
        <v>47040000</v>
      </c>
      <c r="H80" s="100" t="s">
        <v>5</v>
      </c>
      <c r="I80" s="18"/>
      <c r="J80" s="99" t="s">
        <v>5</v>
      </c>
      <c r="K80" s="19"/>
      <c r="L80" s="99" t="s">
        <v>5</v>
      </c>
      <c r="M80" s="19"/>
      <c r="N80" s="70" t="s">
        <v>5</v>
      </c>
      <c r="O80" s="71">
        <f>I80-K80-M80</f>
        <v>0</v>
      </c>
      <c r="P80" s="27"/>
      <c r="Q80" s="27"/>
      <c r="R80" s="28"/>
      <c r="S80" s="28"/>
    </row>
    <row r="81" spans="1:19" s="29" customFormat="1" ht="15" customHeight="1" x14ac:dyDescent="0.15">
      <c r="A81" s="140" t="s">
        <v>112</v>
      </c>
      <c r="B81" s="148" t="s">
        <v>95</v>
      </c>
      <c r="C81" s="136"/>
      <c r="D81" s="57" t="s">
        <v>15</v>
      </c>
      <c r="E81" s="58"/>
      <c r="F81" s="101" t="s">
        <v>17</v>
      </c>
      <c r="G81" s="18">
        <v>10080000</v>
      </c>
      <c r="H81" s="100" t="s">
        <v>17</v>
      </c>
      <c r="I81" s="18"/>
      <c r="J81" s="99" t="s">
        <v>17</v>
      </c>
      <c r="K81" s="19"/>
      <c r="L81" s="99" t="s">
        <v>17</v>
      </c>
      <c r="M81" s="19"/>
      <c r="N81" s="70" t="s">
        <v>17</v>
      </c>
      <c r="O81" s="71">
        <f>I81-K81-M81</f>
        <v>0</v>
      </c>
      <c r="P81" s="27"/>
      <c r="Q81" s="27"/>
      <c r="R81" s="28"/>
      <c r="S81" s="28"/>
    </row>
    <row r="82" spans="1:19" s="29" customFormat="1" ht="15" customHeight="1" x14ac:dyDescent="0.15">
      <c r="A82" s="140"/>
      <c r="B82" s="148"/>
      <c r="C82" s="136"/>
      <c r="D82" s="59" t="s">
        <v>47</v>
      </c>
      <c r="E82" s="60"/>
      <c r="F82" s="98" t="s">
        <v>18</v>
      </c>
      <c r="G82" s="20">
        <v>10080000</v>
      </c>
      <c r="H82" s="98" t="s">
        <v>18</v>
      </c>
      <c r="I82" s="20"/>
      <c r="J82" s="97" t="s">
        <v>18</v>
      </c>
      <c r="K82" s="21"/>
      <c r="L82" s="97" t="s">
        <v>18</v>
      </c>
      <c r="M82" s="21"/>
      <c r="N82" s="72" t="s">
        <v>18</v>
      </c>
      <c r="O82" s="73">
        <f>I82-K82-M82</f>
        <v>0</v>
      </c>
      <c r="P82" s="27"/>
      <c r="Q82" s="27"/>
      <c r="R82" s="28"/>
      <c r="S82" s="28"/>
    </row>
    <row r="83" spans="1:19" s="29" customFormat="1" ht="15" customHeight="1" x14ac:dyDescent="0.15">
      <c r="A83" s="140" t="s">
        <v>49</v>
      </c>
      <c r="B83" s="147" t="s">
        <v>101</v>
      </c>
      <c r="C83" s="135"/>
      <c r="D83" s="61" t="s">
        <v>44</v>
      </c>
      <c r="E83" s="62"/>
      <c r="F83" s="63" t="s">
        <v>4</v>
      </c>
      <c r="G83" s="64">
        <f>SUM(G84:G86)</f>
        <v>67200000</v>
      </c>
      <c r="H83" s="83" t="s">
        <v>4</v>
      </c>
      <c r="I83" s="64">
        <f>SUM(I84:I86)</f>
        <v>0</v>
      </c>
      <c r="J83" s="82" t="s">
        <v>4</v>
      </c>
      <c r="K83" s="64">
        <f>SUM(K84:K86)</f>
        <v>0</v>
      </c>
      <c r="L83" s="82" t="s">
        <v>4</v>
      </c>
      <c r="M83" s="64">
        <f>SUM(M84:M86)</f>
        <v>0</v>
      </c>
      <c r="N83" s="82" t="s">
        <v>4</v>
      </c>
      <c r="O83" s="64">
        <f>SUM(O84:O86)</f>
        <v>0</v>
      </c>
      <c r="P83" s="27"/>
      <c r="Q83" s="27"/>
      <c r="R83" s="28"/>
      <c r="S83" s="28"/>
    </row>
    <row r="84" spans="1:19" s="29" customFormat="1" ht="15" customHeight="1" x14ac:dyDescent="0.15">
      <c r="A84" s="140"/>
      <c r="B84" s="148"/>
      <c r="C84" s="136"/>
      <c r="D84" s="57" t="s">
        <v>45</v>
      </c>
      <c r="E84" s="58"/>
      <c r="F84" s="100" t="s">
        <v>5</v>
      </c>
      <c r="G84" s="18">
        <v>47040000</v>
      </c>
      <c r="H84" s="100" t="s">
        <v>5</v>
      </c>
      <c r="I84" s="18"/>
      <c r="J84" s="99" t="s">
        <v>5</v>
      </c>
      <c r="K84" s="19"/>
      <c r="L84" s="99" t="s">
        <v>5</v>
      </c>
      <c r="M84" s="19"/>
      <c r="N84" s="70" t="s">
        <v>5</v>
      </c>
      <c r="O84" s="71">
        <f>I84-K84-M84</f>
        <v>0</v>
      </c>
      <c r="P84" s="27"/>
      <c r="Q84" s="27"/>
      <c r="R84" s="28"/>
      <c r="S84" s="28"/>
    </row>
    <row r="85" spans="1:19" s="29" customFormat="1" ht="15" customHeight="1" x14ac:dyDescent="0.15">
      <c r="A85" s="140" t="s">
        <v>112</v>
      </c>
      <c r="B85" s="148" t="s">
        <v>102</v>
      </c>
      <c r="C85" s="136"/>
      <c r="D85" s="57" t="s">
        <v>46</v>
      </c>
      <c r="E85" s="58"/>
      <c r="F85" s="101" t="s">
        <v>17</v>
      </c>
      <c r="G85" s="18">
        <v>10080000</v>
      </c>
      <c r="H85" s="100" t="s">
        <v>17</v>
      </c>
      <c r="I85" s="18"/>
      <c r="J85" s="99" t="s">
        <v>17</v>
      </c>
      <c r="K85" s="19"/>
      <c r="L85" s="99" t="s">
        <v>17</v>
      </c>
      <c r="M85" s="19"/>
      <c r="N85" s="70" t="s">
        <v>17</v>
      </c>
      <c r="O85" s="71">
        <f>I85-K85-M85</f>
        <v>0</v>
      </c>
      <c r="P85" s="27"/>
      <c r="Q85" s="27"/>
      <c r="R85" s="28"/>
      <c r="S85" s="28"/>
    </row>
    <row r="86" spans="1:19" s="29" customFormat="1" ht="15" customHeight="1" x14ac:dyDescent="0.15">
      <c r="A86" s="140"/>
      <c r="B86" s="148"/>
      <c r="C86" s="136"/>
      <c r="D86" s="59" t="s">
        <v>47</v>
      </c>
      <c r="E86" s="60"/>
      <c r="F86" s="98" t="s">
        <v>18</v>
      </c>
      <c r="G86" s="20">
        <v>10080000</v>
      </c>
      <c r="H86" s="98" t="s">
        <v>18</v>
      </c>
      <c r="I86" s="20"/>
      <c r="J86" s="97" t="s">
        <v>18</v>
      </c>
      <c r="K86" s="21"/>
      <c r="L86" s="97" t="s">
        <v>18</v>
      </c>
      <c r="M86" s="21"/>
      <c r="N86" s="72" t="s">
        <v>18</v>
      </c>
      <c r="O86" s="73">
        <f>I86-K86-M86</f>
        <v>0</v>
      </c>
      <c r="P86" s="27"/>
      <c r="Q86" s="27"/>
      <c r="R86" s="28"/>
      <c r="S86" s="28"/>
    </row>
    <row r="87" spans="1:19" s="29" customFormat="1" ht="15" customHeight="1" x14ac:dyDescent="0.15">
      <c r="A87" s="140" t="s">
        <v>49</v>
      </c>
      <c r="B87" s="147" t="s">
        <v>111</v>
      </c>
      <c r="C87" s="135"/>
      <c r="D87" s="61" t="s">
        <v>44</v>
      </c>
      <c r="E87" s="62"/>
      <c r="F87" s="63" t="s">
        <v>4</v>
      </c>
      <c r="G87" s="64">
        <f>SUM(G88:G90)</f>
        <v>3500000</v>
      </c>
      <c r="H87" s="83" t="s">
        <v>4</v>
      </c>
      <c r="I87" s="64">
        <f>SUM(I88:I90)</f>
        <v>0</v>
      </c>
      <c r="J87" s="82" t="s">
        <v>4</v>
      </c>
      <c r="K87" s="64">
        <f>SUM(K88:K90)</f>
        <v>0</v>
      </c>
      <c r="L87" s="82" t="s">
        <v>4</v>
      </c>
      <c r="M87" s="64">
        <f>SUM(M88:M90)</f>
        <v>0</v>
      </c>
      <c r="N87" s="82" t="s">
        <v>4</v>
      </c>
      <c r="O87" s="64">
        <f>SUM(O88:O90)</f>
        <v>0</v>
      </c>
      <c r="P87" s="27"/>
      <c r="Q87" s="27"/>
      <c r="R87" s="28"/>
      <c r="S87" s="28"/>
    </row>
    <row r="88" spans="1:19" s="29" customFormat="1" ht="15" customHeight="1" x14ac:dyDescent="0.15">
      <c r="A88" s="140"/>
      <c r="B88" s="148"/>
      <c r="C88" s="136"/>
      <c r="D88" s="57" t="s">
        <v>45</v>
      </c>
      <c r="E88" s="58"/>
      <c r="F88" s="100" t="s">
        <v>5</v>
      </c>
      <c r="G88" s="18"/>
      <c r="H88" s="100" t="s">
        <v>5</v>
      </c>
      <c r="I88" s="18"/>
      <c r="J88" s="99" t="s">
        <v>5</v>
      </c>
      <c r="K88" s="19"/>
      <c r="L88" s="99" t="s">
        <v>5</v>
      </c>
      <c r="M88" s="19"/>
      <c r="N88" s="70" t="s">
        <v>5</v>
      </c>
      <c r="O88" s="71">
        <f>I88-K88-M88</f>
        <v>0</v>
      </c>
      <c r="P88" s="27"/>
      <c r="Q88" s="27"/>
      <c r="R88" s="28"/>
      <c r="S88" s="28"/>
    </row>
    <row r="89" spans="1:19" s="29" customFormat="1" ht="15" customHeight="1" x14ac:dyDescent="0.15">
      <c r="A89" s="140" t="s">
        <v>113</v>
      </c>
      <c r="B89" s="148" t="s">
        <v>114</v>
      </c>
      <c r="C89" s="136"/>
      <c r="D89" s="57" t="s">
        <v>46</v>
      </c>
      <c r="E89" s="58"/>
      <c r="F89" s="101" t="s">
        <v>17</v>
      </c>
      <c r="G89" s="18">
        <v>3500000</v>
      </c>
      <c r="H89" s="100" t="s">
        <v>17</v>
      </c>
      <c r="I89" s="18"/>
      <c r="J89" s="99" t="s">
        <v>17</v>
      </c>
      <c r="K89" s="19"/>
      <c r="L89" s="99" t="s">
        <v>17</v>
      </c>
      <c r="M89" s="19"/>
      <c r="N89" s="70" t="s">
        <v>17</v>
      </c>
      <c r="O89" s="71">
        <f>I89-K89-M89</f>
        <v>0</v>
      </c>
      <c r="P89" s="27"/>
      <c r="Q89" s="27"/>
      <c r="R89" s="28"/>
      <c r="S89" s="28"/>
    </row>
    <row r="90" spans="1:19" s="29" customFormat="1" ht="15" customHeight="1" x14ac:dyDescent="0.15">
      <c r="A90" s="140"/>
      <c r="B90" s="148"/>
      <c r="C90" s="136"/>
      <c r="D90" s="59" t="s">
        <v>47</v>
      </c>
      <c r="E90" s="60"/>
      <c r="F90" s="98" t="s">
        <v>18</v>
      </c>
      <c r="G90" s="20"/>
      <c r="H90" s="98" t="s">
        <v>18</v>
      </c>
      <c r="I90" s="20"/>
      <c r="J90" s="97" t="s">
        <v>18</v>
      </c>
      <c r="K90" s="21"/>
      <c r="L90" s="97" t="s">
        <v>18</v>
      </c>
      <c r="M90" s="21"/>
      <c r="N90" s="72" t="s">
        <v>18</v>
      </c>
      <c r="O90" s="73">
        <f>I90-K90-M90</f>
        <v>0</v>
      </c>
      <c r="P90" s="27"/>
      <c r="Q90" s="27"/>
      <c r="R90" s="28"/>
      <c r="S90" s="28"/>
    </row>
    <row r="91" spans="1:19" s="29" customFormat="1" ht="15" customHeight="1" x14ac:dyDescent="0.15">
      <c r="A91" s="140" t="s">
        <v>49</v>
      </c>
      <c r="B91" s="147" t="s">
        <v>111</v>
      </c>
      <c r="C91" s="135"/>
      <c r="D91" s="61" t="s">
        <v>44</v>
      </c>
      <c r="E91" s="62"/>
      <c r="F91" s="63" t="s">
        <v>4</v>
      </c>
      <c r="G91" s="64">
        <f>SUM(G92:G94)</f>
        <v>146000000</v>
      </c>
      <c r="H91" s="83" t="s">
        <v>4</v>
      </c>
      <c r="I91" s="64">
        <f>SUM(I92:I94)</f>
        <v>0</v>
      </c>
      <c r="J91" s="82" t="s">
        <v>4</v>
      </c>
      <c r="K91" s="64">
        <f>SUM(K92:K94)</f>
        <v>0</v>
      </c>
      <c r="L91" s="82" t="s">
        <v>4</v>
      </c>
      <c r="M91" s="64">
        <f>SUM(M92:M94)</f>
        <v>0</v>
      </c>
      <c r="N91" s="82" t="s">
        <v>4</v>
      </c>
      <c r="O91" s="64">
        <f>SUM(O92:O94)</f>
        <v>0</v>
      </c>
      <c r="P91" s="27"/>
      <c r="Q91" s="27"/>
      <c r="R91" s="28"/>
      <c r="S91" s="28"/>
    </row>
    <row r="92" spans="1:19" s="29" customFormat="1" ht="15" customHeight="1" x14ac:dyDescent="0.15">
      <c r="A92" s="140"/>
      <c r="B92" s="148"/>
      <c r="C92" s="136"/>
      <c r="D92" s="57" t="s">
        <v>45</v>
      </c>
      <c r="E92" s="58"/>
      <c r="F92" s="100" t="s">
        <v>5</v>
      </c>
      <c r="G92" s="18"/>
      <c r="H92" s="100" t="s">
        <v>5</v>
      </c>
      <c r="I92" s="18"/>
      <c r="J92" s="99" t="s">
        <v>5</v>
      </c>
      <c r="K92" s="19"/>
      <c r="L92" s="99" t="s">
        <v>5</v>
      </c>
      <c r="M92" s="19"/>
      <c r="N92" s="70" t="s">
        <v>5</v>
      </c>
      <c r="O92" s="71">
        <f>I92-K92-M92</f>
        <v>0</v>
      </c>
      <c r="P92" s="27"/>
      <c r="Q92" s="27"/>
      <c r="R92" s="28"/>
      <c r="S92" s="28"/>
    </row>
    <row r="93" spans="1:19" s="29" customFormat="1" ht="15" customHeight="1" x14ac:dyDescent="0.15">
      <c r="A93" s="140" t="s">
        <v>115</v>
      </c>
      <c r="B93" s="148" t="s">
        <v>114</v>
      </c>
      <c r="C93" s="136"/>
      <c r="D93" s="57" t="s">
        <v>46</v>
      </c>
      <c r="E93" s="58"/>
      <c r="F93" s="101" t="s">
        <v>17</v>
      </c>
      <c r="G93" s="18">
        <v>146000000</v>
      </c>
      <c r="H93" s="100" t="s">
        <v>17</v>
      </c>
      <c r="I93" s="18"/>
      <c r="J93" s="99" t="s">
        <v>17</v>
      </c>
      <c r="K93" s="19"/>
      <c r="L93" s="99" t="s">
        <v>17</v>
      </c>
      <c r="M93" s="19"/>
      <c r="N93" s="70" t="s">
        <v>17</v>
      </c>
      <c r="O93" s="71">
        <f>I93-K93-M93</f>
        <v>0</v>
      </c>
      <c r="P93" s="27"/>
      <c r="Q93" s="27"/>
      <c r="R93" s="28"/>
      <c r="S93" s="28"/>
    </row>
    <row r="94" spans="1:19" s="29" customFormat="1" ht="15" customHeight="1" x14ac:dyDescent="0.15">
      <c r="A94" s="140"/>
      <c r="B94" s="148"/>
      <c r="C94" s="136"/>
      <c r="D94" s="59" t="s">
        <v>47</v>
      </c>
      <c r="E94" s="60"/>
      <c r="F94" s="98" t="s">
        <v>18</v>
      </c>
      <c r="G94" s="20"/>
      <c r="H94" s="98" t="s">
        <v>18</v>
      </c>
      <c r="I94" s="20"/>
      <c r="J94" s="97" t="s">
        <v>18</v>
      </c>
      <c r="K94" s="21"/>
      <c r="L94" s="97" t="s">
        <v>18</v>
      </c>
      <c r="M94" s="21"/>
      <c r="N94" s="72" t="s">
        <v>18</v>
      </c>
      <c r="O94" s="73">
        <f>I94-K94-M94</f>
        <v>0</v>
      </c>
      <c r="P94" s="27"/>
      <c r="Q94" s="27"/>
      <c r="R94" s="28"/>
      <c r="S94" s="28"/>
    </row>
    <row r="95" spans="1:19" s="29" customFormat="1" ht="15" customHeight="1" x14ac:dyDescent="0.15">
      <c r="A95" s="132" t="s">
        <v>49</v>
      </c>
      <c r="B95" s="147" t="s">
        <v>101</v>
      </c>
      <c r="C95" s="135"/>
      <c r="D95" s="61" t="s">
        <v>16</v>
      </c>
      <c r="E95" s="62"/>
      <c r="F95" s="103" t="s">
        <v>4</v>
      </c>
      <c r="G95" s="104">
        <f>SUM(G96:G98)</f>
        <v>45517000</v>
      </c>
      <c r="H95" s="105" t="s">
        <v>4</v>
      </c>
      <c r="I95" s="104">
        <f>SUM(I96:I98)</f>
        <v>45517000</v>
      </c>
      <c r="J95" s="106" t="s">
        <v>4</v>
      </c>
      <c r="K95" s="104">
        <f>SUM(K96:K98)</f>
        <v>45514000</v>
      </c>
      <c r="L95" s="106" t="s">
        <v>4</v>
      </c>
      <c r="M95" s="104">
        <f>SUM(M96:M98)</f>
        <v>0</v>
      </c>
      <c r="N95" s="106" t="s">
        <v>4</v>
      </c>
      <c r="O95" s="104">
        <f>SUM(O96:O98)</f>
        <v>3000</v>
      </c>
      <c r="P95" s="27"/>
      <c r="Q95" s="27"/>
      <c r="R95" s="28"/>
      <c r="S95" s="28"/>
    </row>
    <row r="96" spans="1:19" s="29" customFormat="1" ht="15" customHeight="1" x14ac:dyDescent="0.15">
      <c r="A96" s="132"/>
      <c r="B96" s="148"/>
      <c r="C96" s="136"/>
      <c r="D96" s="57" t="s">
        <v>45</v>
      </c>
      <c r="E96" s="58"/>
      <c r="F96" s="107" t="s">
        <v>5</v>
      </c>
      <c r="G96" s="108">
        <v>22758000</v>
      </c>
      <c r="H96" s="107" t="s">
        <v>5</v>
      </c>
      <c r="I96" s="108">
        <v>22758000</v>
      </c>
      <c r="J96" s="109" t="s">
        <v>5</v>
      </c>
      <c r="K96" s="110">
        <v>22757000</v>
      </c>
      <c r="L96" s="109" t="s">
        <v>5</v>
      </c>
      <c r="M96" s="110"/>
      <c r="N96" s="111" t="s">
        <v>5</v>
      </c>
      <c r="O96" s="112">
        <f>I96-K96-M96</f>
        <v>1000</v>
      </c>
      <c r="P96" s="27"/>
      <c r="Q96" s="27"/>
      <c r="R96" s="28"/>
      <c r="S96" s="28"/>
    </row>
    <row r="97" spans="1:19" s="29" customFormat="1" ht="15" customHeight="1" x14ac:dyDescent="0.15">
      <c r="A97" s="132" t="s">
        <v>116</v>
      </c>
      <c r="B97" s="148" t="s">
        <v>102</v>
      </c>
      <c r="C97" s="136"/>
      <c r="D97" s="57" t="s">
        <v>15</v>
      </c>
      <c r="E97" s="58"/>
      <c r="F97" s="113" t="s">
        <v>17</v>
      </c>
      <c r="G97" s="108">
        <v>22759000</v>
      </c>
      <c r="H97" s="107" t="s">
        <v>17</v>
      </c>
      <c r="I97" s="108">
        <v>22759000</v>
      </c>
      <c r="J97" s="109" t="s">
        <v>17</v>
      </c>
      <c r="K97" s="110">
        <v>22757000</v>
      </c>
      <c r="L97" s="109" t="s">
        <v>17</v>
      </c>
      <c r="M97" s="110"/>
      <c r="N97" s="111" t="s">
        <v>17</v>
      </c>
      <c r="O97" s="112">
        <f>I97-K97-M97</f>
        <v>2000</v>
      </c>
      <c r="P97" s="27"/>
      <c r="Q97" s="27"/>
      <c r="R97" s="28"/>
      <c r="S97" s="28"/>
    </row>
    <row r="98" spans="1:19" s="29" customFormat="1" ht="15" customHeight="1" x14ac:dyDescent="0.15">
      <c r="A98" s="132"/>
      <c r="B98" s="148"/>
      <c r="C98" s="136"/>
      <c r="D98" s="59" t="s">
        <v>47</v>
      </c>
      <c r="E98" s="60"/>
      <c r="F98" s="114" t="s">
        <v>18</v>
      </c>
      <c r="G98" s="115"/>
      <c r="H98" s="114" t="s">
        <v>18</v>
      </c>
      <c r="I98" s="115"/>
      <c r="J98" s="116" t="s">
        <v>18</v>
      </c>
      <c r="K98" s="117"/>
      <c r="L98" s="116" t="s">
        <v>18</v>
      </c>
      <c r="M98" s="117"/>
      <c r="N98" s="118" t="s">
        <v>18</v>
      </c>
      <c r="O98" s="119">
        <f>I98-K98-M98</f>
        <v>0</v>
      </c>
      <c r="P98" s="27"/>
      <c r="Q98" s="27"/>
      <c r="R98" s="28"/>
      <c r="S98" s="28"/>
    </row>
    <row r="99" spans="1:19" s="29" customFormat="1" ht="15" customHeight="1" x14ac:dyDescent="0.15">
      <c r="A99" s="132" t="s">
        <v>49</v>
      </c>
      <c r="B99" s="147" t="s">
        <v>111</v>
      </c>
      <c r="C99" s="135"/>
      <c r="D99" s="61" t="s">
        <v>16</v>
      </c>
      <c r="E99" s="62"/>
      <c r="F99" s="103" t="s">
        <v>4</v>
      </c>
      <c r="G99" s="104">
        <f>SUM(G100:G102)</f>
        <v>48649000</v>
      </c>
      <c r="H99" s="105" t="s">
        <v>4</v>
      </c>
      <c r="I99" s="104">
        <f>SUM(I100:I102)</f>
        <v>48649000</v>
      </c>
      <c r="J99" s="106" t="s">
        <v>4</v>
      </c>
      <c r="K99" s="104">
        <f>SUM(K100:K102)</f>
        <v>48480900</v>
      </c>
      <c r="L99" s="106" t="s">
        <v>4</v>
      </c>
      <c r="M99" s="104">
        <f>SUM(M100:M102)</f>
        <v>0</v>
      </c>
      <c r="N99" s="106" t="s">
        <v>4</v>
      </c>
      <c r="O99" s="104">
        <f>SUM(O100:O102)</f>
        <v>168100</v>
      </c>
      <c r="P99" s="27"/>
      <c r="Q99" s="27"/>
      <c r="R99" s="28"/>
      <c r="S99" s="28"/>
    </row>
    <row r="100" spans="1:19" s="29" customFormat="1" ht="15" customHeight="1" x14ac:dyDescent="0.15">
      <c r="A100" s="132"/>
      <c r="B100" s="148"/>
      <c r="C100" s="136"/>
      <c r="D100" s="57" t="s">
        <v>45</v>
      </c>
      <c r="E100" s="58"/>
      <c r="F100" s="107" t="s">
        <v>5</v>
      </c>
      <c r="G100" s="108">
        <v>24324000</v>
      </c>
      <c r="H100" s="107" t="s">
        <v>5</v>
      </c>
      <c r="I100" s="108">
        <v>24324000</v>
      </c>
      <c r="J100" s="109" t="s">
        <v>5</v>
      </c>
      <c r="K100" s="110">
        <v>24239950</v>
      </c>
      <c r="L100" s="109" t="s">
        <v>5</v>
      </c>
      <c r="M100" s="110"/>
      <c r="N100" s="111" t="s">
        <v>5</v>
      </c>
      <c r="O100" s="112">
        <f>I100-K100-M100</f>
        <v>84050</v>
      </c>
      <c r="P100" s="27"/>
      <c r="Q100" s="27"/>
      <c r="R100" s="28"/>
      <c r="S100" s="28"/>
    </row>
    <row r="101" spans="1:19" s="29" customFormat="1" ht="15" customHeight="1" x14ac:dyDescent="0.15">
      <c r="A101" s="132" t="s">
        <v>116</v>
      </c>
      <c r="B101" s="148" t="s">
        <v>114</v>
      </c>
      <c r="C101" s="136"/>
      <c r="D101" s="57" t="s">
        <v>15</v>
      </c>
      <c r="E101" s="58"/>
      <c r="F101" s="113" t="s">
        <v>17</v>
      </c>
      <c r="G101" s="108">
        <v>24325000</v>
      </c>
      <c r="H101" s="107" t="s">
        <v>17</v>
      </c>
      <c r="I101" s="108">
        <v>24325000</v>
      </c>
      <c r="J101" s="109" t="s">
        <v>17</v>
      </c>
      <c r="K101" s="110">
        <v>24240950</v>
      </c>
      <c r="L101" s="109" t="s">
        <v>17</v>
      </c>
      <c r="M101" s="110"/>
      <c r="N101" s="111" t="s">
        <v>17</v>
      </c>
      <c r="O101" s="112">
        <f>I101-K101-M101</f>
        <v>84050</v>
      </c>
      <c r="P101" s="27"/>
      <c r="Q101" s="27"/>
      <c r="R101" s="28"/>
      <c r="S101" s="28"/>
    </row>
    <row r="102" spans="1:19" s="29" customFormat="1" ht="15" customHeight="1" x14ac:dyDescent="0.15">
      <c r="A102" s="132"/>
      <c r="B102" s="148"/>
      <c r="C102" s="136"/>
      <c r="D102" s="59" t="s">
        <v>47</v>
      </c>
      <c r="E102" s="60"/>
      <c r="F102" s="114" t="s">
        <v>18</v>
      </c>
      <c r="G102" s="115"/>
      <c r="H102" s="114" t="s">
        <v>18</v>
      </c>
      <c r="I102" s="115"/>
      <c r="J102" s="116" t="s">
        <v>18</v>
      </c>
      <c r="K102" s="117"/>
      <c r="L102" s="116" t="s">
        <v>18</v>
      </c>
      <c r="M102" s="117"/>
      <c r="N102" s="118" t="s">
        <v>18</v>
      </c>
      <c r="O102" s="119">
        <f>I102-K102-M102</f>
        <v>0</v>
      </c>
      <c r="P102" s="27"/>
      <c r="Q102" s="27"/>
      <c r="R102" s="28"/>
      <c r="S102" s="28"/>
    </row>
    <row r="103" spans="1:19" s="29" customFormat="1" ht="15" customHeight="1" x14ac:dyDescent="0.15">
      <c r="A103" s="140" t="s">
        <v>49</v>
      </c>
      <c r="B103" s="147" t="s">
        <v>94</v>
      </c>
      <c r="C103" s="135"/>
      <c r="D103" s="61" t="s">
        <v>16</v>
      </c>
      <c r="E103" s="62"/>
      <c r="F103" s="63" t="s">
        <v>4</v>
      </c>
      <c r="G103" s="64">
        <f>SUM(G104:G106)</f>
        <v>62000000</v>
      </c>
      <c r="H103" s="83" t="s">
        <v>4</v>
      </c>
      <c r="I103" s="64">
        <f>SUM(I104:I106)</f>
        <v>0</v>
      </c>
      <c r="J103" s="82" t="s">
        <v>4</v>
      </c>
      <c r="K103" s="64">
        <f>SUM(K104:K106)</f>
        <v>0</v>
      </c>
      <c r="L103" s="82" t="s">
        <v>4</v>
      </c>
      <c r="M103" s="64">
        <f>SUM(M104:M106)</f>
        <v>0</v>
      </c>
      <c r="N103" s="82" t="s">
        <v>4</v>
      </c>
      <c r="O103" s="64">
        <f>SUM(O104:O106)</f>
        <v>0</v>
      </c>
      <c r="P103" s="27"/>
      <c r="Q103" s="27"/>
      <c r="R103" s="28"/>
      <c r="S103" s="28"/>
    </row>
    <row r="104" spans="1:19" s="29" customFormat="1" ht="15" customHeight="1" x14ac:dyDescent="0.15">
      <c r="A104" s="140"/>
      <c r="B104" s="148"/>
      <c r="C104" s="136"/>
      <c r="D104" s="57" t="s">
        <v>45</v>
      </c>
      <c r="E104" s="58"/>
      <c r="F104" s="100" t="s">
        <v>5</v>
      </c>
      <c r="G104" s="18">
        <v>31000000</v>
      </c>
      <c r="H104" s="100" t="s">
        <v>5</v>
      </c>
      <c r="I104" s="18"/>
      <c r="J104" s="99" t="s">
        <v>5</v>
      </c>
      <c r="K104" s="19"/>
      <c r="L104" s="99" t="s">
        <v>5</v>
      </c>
      <c r="M104" s="19"/>
      <c r="N104" s="70" t="s">
        <v>5</v>
      </c>
      <c r="O104" s="71">
        <f>I104-K104-M104</f>
        <v>0</v>
      </c>
      <c r="P104" s="27"/>
      <c r="Q104" s="27"/>
      <c r="R104" s="28"/>
      <c r="S104" s="28"/>
    </row>
    <row r="105" spans="1:19" s="29" customFormat="1" ht="15" customHeight="1" x14ac:dyDescent="0.15">
      <c r="A105" s="140" t="s">
        <v>117</v>
      </c>
      <c r="B105" s="148" t="s">
        <v>95</v>
      </c>
      <c r="C105" s="136"/>
      <c r="D105" s="57" t="s">
        <v>15</v>
      </c>
      <c r="E105" s="58"/>
      <c r="F105" s="101" t="s">
        <v>17</v>
      </c>
      <c r="G105" s="18"/>
      <c r="H105" s="100" t="s">
        <v>17</v>
      </c>
      <c r="I105" s="18"/>
      <c r="J105" s="99" t="s">
        <v>17</v>
      </c>
      <c r="K105" s="19"/>
      <c r="L105" s="99" t="s">
        <v>17</v>
      </c>
      <c r="M105" s="19"/>
      <c r="N105" s="70" t="s">
        <v>17</v>
      </c>
      <c r="O105" s="71">
        <f>I105-K105-M105</f>
        <v>0</v>
      </c>
      <c r="P105" s="27"/>
      <c r="Q105" s="27"/>
      <c r="R105" s="28"/>
      <c r="S105" s="28"/>
    </row>
    <row r="106" spans="1:19" s="29" customFormat="1" ht="15" customHeight="1" x14ac:dyDescent="0.15">
      <c r="A106" s="140"/>
      <c r="B106" s="148"/>
      <c r="C106" s="136"/>
      <c r="D106" s="59" t="s">
        <v>47</v>
      </c>
      <c r="E106" s="60"/>
      <c r="F106" s="98" t="s">
        <v>18</v>
      </c>
      <c r="G106" s="20">
        <v>31000000</v>
      </c>
      <c r="H106" s="98" t="s">
        <v>18</v>
      </c>
      <c r="I106" s="20"/>
      <c r="J106" s="97" t="s">
        <v>18</v>
      </c>
      <c r="K106" s="21"/>
      <c r="L106" s="97" t="s">
        <v>18</v>
      </c>
      <c r="M106" s="21"/>
      <c r="N106" s="72" t="s">
        <v>18</v>
      </c>
      <c r="O106" s="73">
        <f>I106-K106-M106</f>
        <v>0</v>
      </c>
      <c r="P106" s="27"/>
      <c r="Q106" s="27"/>
      <c r="R106" s="28"/>
      <c r="S106" s="28"/>
    </row>
    <row r="107" spans="1:19" s="29" customFormat="1" ht="15" customHeight="1" x14ac:dyDescent="0.15">
      <c r="A107" s="140" t="s">
        <v>49</v>
      </c>
      <c r="B107" s="147" t="s">
        <v>111</v>
      </c>
      <c r="C107" s="135"/>
      <c r="D107" s="61" t="s">
        <v>16</v>
      </c>
      <c r="E107" s="62"/>
      <c r="F107" s="63" t="s">
        <v>4</v>
      </c>
      <c r="G107" s="64">
        <f>SUM(G108:G110)</f>
        <v>38000000</v>
      </c>
      <c r="H107" s="83" t="s">
        <v>4</v>
      </c>
      <c r="I107" s="64">
        <f>SUM(I108:I110)</f>
        <v>0</v>
      </c>
      <c r="J107" s="82" t="s">
        <v>4</v>
      </c>
      <c r="K107" s="64">
        <f>SUM(K108:K110)</f>
        <v>0</v>
      </c>
      <c r="L107" s="82" t="s">
        <v>4</v>
      </c>
      <c r="M107" s="64">
        <f>SUM(M108:M110)</f>
        <v>0</v>
      </c>
      <c r="N107" s="82" t="s">
        <v>4</v>
      </c>
      <c r="O107" s="64">
        <f>SUM(O108:O110)</f>
        <v>0</v>
      </c>
      <c r="P107" s="27"/>
      <c r="Q107" s="27"/>
      <c r="R107" s="28"/>
      <c r="S107" s="28"/>
    </row>
    <row r="108" spans="1:19" s="29" customFormat="1" ht="15" customHeight="1" x14ac:dyDescent="0.15">
      <c r="A108" s="140"/>
      <c r="B108" s="148"/>
      <c r="C108" s="136"/>
      <c r="D108" s="57" t="s">
        <v>45</v>
      </c>
      <c r="E108" s="58"/>
      <c r="F108" s="100" t="s">
        <v>5</v>
      </c>
      <c r="G108" s="18">
        <v>19000000</v>
      </c>
      <c r="H108" s="100" t="s">
        <v>5</v>
      </c>
      <c r="I108" s="18"/>
      <c r="J108" s="99" t="s">
        <v>5</v>
      </c>
      <c r="K108" s="19"/>
      <c r="L108" s="99" t="s">
        <v>5</v>
      </c>
      <c r="M108" s="19"/>
      <c r="N108" s="70" t="s">
        <v>5</v>
      </c>
      <c r="O108" s="71">
        <f>I108-K108-M108</f>
        <v>0</v>
      </c>
      <c r="P108" s="27"/>
      <c r="Q108" s="27"/>
      <c r="R108" s="28"/>
      <c r="S108" s="28"/>
    </row>
    <row r="109" spans="1:19" s="29" customFormat="1" ht="15" customHeight="1" x14ac:dyDescent="0.15">
      <c r="A109" s="140" t="s">
        <v>117</v>
      </c>
      <c r="B109" s="148" t="s">
        <v>114</v>
      </c>
      <c r="C109" s="136"/>
      <c r="D109" s="57" t="s">
        <v>15</v>
      </c>
      <c r="E109" s="58"/>
      <c r="F109" s="101" t="s">
        <v>17</v>
      </c>
      <c r="G109" s="18"/>
      <c r="H109" s="100" t="s">
        <v>17</v>
      </c>
      <c r="I109" s="18"/>
      <c r="J109" s="99" t="s">
        <v>17</v>
      </c>
      <c r="K109" s="19"/>
      <c r="L109" s="99" t="s">
        <v>17</v>
      </c>
      <c r="M109" s="19"/>
      <c r="N109" s="70" t="s">
        <v>17</v>
      </c>
      <c r="O109" s="71">
        <f>I109-K109-M109</f>
        <v>0</v>
      </c>
      <c r="P109" s="27"/>
      <c r="Q109" s="27"/>
      <c r="R109" s="28"/>
      <c r="S109" s="28"/>
    </row>
    <row r="110" spans="1:19" s="29" customFormat="1" ht="15" customHeight="1" x14ac:dyDescent="0.15">
      <c r="A110" s="140"/>
      <c r="B110" s="148"/>
      <c r="C110" s="136"/>
      <c r="D110" s="59" t="s">
        <v>47</v>
      </c>
      <c r="E110" s="60"/>
      <c r="F110" s="98" t="s">
        <v>18</v>
      </c>
      <c r="G110" s="20">
        <v>19000000</v>
      </c>
      <c r="H110" s="98" t="s">
        <v>18</v>
      </c>
      <c r="I110" s="20"/>
      <c r="J110" s="97" t="s">
        <v>18</v>
      </c>
      <c r="K110" s="21"/>
      <c r="L110" s="97" t="s">
        <v>18</v>
      </c>
      <c r="M110" s="21"/>
      <c r="N110" s="72" t="s">
        <v>18</v>
      </c>
      <c r="O110" s="73">
        <f>I110-K110-M110</f>
        <v>0</v>
      </c>
      <c r="P110" s="27"/>
      <c r="Q110" s="27"/>
      <c r="R110" s="28"/>
      <c r="S110" s="28"/>
    </row>
    <row r="111" spans="1:19" s="29" customFormat="1" ht="15" customHeight="1" x14ac:dyDescent="0.15">
      <c r="A111" s="140" t="s">
        <v>49</v>
      </c>
      <c r="B111" s="147" t="s">
        <v>94</v>
      </c>
      <c r="C111" s="135"/>
      <c r="D111" s="61" t="s">
        <v>16</v>
      </c>
      <c r="E111" s="62"/>
      <c r="F111" s="63" t="s">
        <v>4</v>
      </c>
      <c r="G111" s="64">
        <f>SUM(G112:G114)</f>
        <v>1250000</v>
      </c>
      <c r="H111" s="83" t="s">
        <v>4</v>
      </c>
      <c r="I111" s="64">
        <f>SUM(I112:I114)</f>
        <v>0</v>
      </c>
      <c r="J111" s="82" t="s">
        <v>4</v>
      </c>
      <c r="K111" s="64">
        <f>SUM(K112:K114)</f>
        <v>0</v>
      </c>
      <c r="L111" s="82" t="s">
        <v>4</v>
      </c>
      <c r="M111" s="64">
        <f>SUM(M112:M114)</f>
        <v>0</v>
      </c>
      <c r="N111" s="82" t="s">
        <v>4</v>
      </c>
      <c r="O111" s="64">
        <f>SUM(O112:O114)</f>
        <v>0</v>
      </c>
      <c r="P111" s="27"/>
      <c r="Q111" s="27"/>
      <c r="R111" s="28"/>
      <c r="S111" s="28"/>
    </row>
    <row r="112" spans="1:19" s="29" customFormat="1" ht="15" customHeight="1" x14ac:dyDescent="0.15">
      <c r="A112" s="140"/>
      <c r="B112" s="148"/>
      <c r="C112" s="136"/>
      <c r="D112" s="57" t="s">
        <v>45</v>
      </c>
      <c r="E112" s="58"/>
      <c r="F112" s="100" t="s">
        <v>5</v>
      </c>
      <c r="G112" s="18"/>
      <c r="H112" s="100" t="s">
        <v>5</v>
      </c>
      <c r="I112" s="18"/>
      <c r="J112" s="99" t="s">
        <v>5</v>
      </c>
      <c r="K112" s="19"/>
      <c r="L112" s="99" t="s">
        <v>5</v>
      </c>
      <c r="M112" s="19"/>
      <c r="N112" s="70" t="s">
        <v>5</v>
      </c>
      <c r="O112" s="71">
        <f>I112-K112-M112</f>
        <v>0</v>
      </c>
      <c r="P112" s="27"/>
      <c r="Q112" s="27"/>
      <c r="R112" s="28"/>
      <c r="S112" s="28"/>
    </row>
    <row r="113" spans="1:19" s="29" customFormat="1" ht="15" customHeight="1" x14ac:dyDescent="0.15">
      <c r="A113" s="150" t="s">
        <v>118</v>
      </c>
      <c r="B113" s="148" t="s">
        <v>95</v>
      </c>
      <c r="C113" s="136"/>
      <c r="D113" s="57" t="s">
        <v>15</v>
      </c>
      <c r="E113" s="58"/>
      <c r="F113" s="101" t="s">
        <v>17</v>
      </c>
      <c r="G113" s="18">
        <v>1250000</v>
      </c>
      <c r="H113" s="100" t="s">
        <v>17</v>
      </c>
      <c r="I113" s="18"/>
      <c r="J113" s="99" t="s">
        <v>17</v>
      </c>
      <c r="K113" s="19"/>
      <c r="L113" s="99" t="s">
        <v>17</v>
      </c>
      <c r="M113" s="19"/>
      <c r="N113" s="70" t="s">
        <v>17</v>
      </c>
      <c r="O113" s="71">
        <f>I113-K113-M113</f>
        <v>0</v>
      </c>
      <c r="P113" s="27"/>
      <c r="Q113" s="27"/>
      <c r="R113" s="28"/>
      <c r="S113" s="28"/>
    </row>
    <row r="114" spans="1:19" s="29" customFormat="1" ht="15" customHeight="1" x14ac:dyDescent="0.15">
      <c r="A114" s="149"/>
      <c r="B114" s="148"/>
      <c r="C114" s="136"/>
      <c r="D114" s="59" t="s">
        <v>47</v>
      </c>
      <c r="E114" s="60"/>
      <c r="F114" s="98" t="s">
        <v>18</v>
      </c>
      <c r="G114" s="20"/>
      <c r="H114" s="98" t="s">
        <v>18</v>
      </c>
      <c r="I114" s="20"/>
      <c r="J114" s="97" t="s">
        <v>18</v>
      </c>
      <c r="K114" s="21"/>
      <c r="L114" s="97" t="s">
        <v>18</v>
      </c>
      <c r="M114" s="21"/>
      <c r="N114" s="72" t="s">
        <v>18</v>
      </c>
      <c r="O114" s="73">
        <f>I114-K114-M114</f>
        <v>0</v>
      </c>
      <c r="P114" s="27"/>
      <c r="Q114" s="27"/>
      <c r="R114" s="28"/>
      <c r="S114" s="28"/>
    </row>
    <row r="115" spans="1:19" s="29" customFormat="1" ht="15" customHeight="1" x14ac:dyDescent="0.15">
      <c r="A115" s="140" t="s">
        <v>49</v>
      </c>
      <c r="B115" s="147" t="s">
        <v>101</v>
      </c>
      <c r="C115" s="135"/>
      <c r="D115" s="61" t="s">
        <v>16</v>
      </c>
      <c r="E115" s="62"/>
      <c r="F115" s="63" t="s">
        <v>4</v>
      </c>
      <c r="G115" s="64">
        <f>SUM(G116:G118)</f>
        <v>2300000</v>
      </c>
      <c r="H115" s="83" t="s">
        <v>4</v>
      </c>
      <c r="I115" s="64">
        <f>SUM(I116:I118)</f>
        <v>0</v>
      </c>
      <c r="J115" s="82" t="s">
        <v>4</v>
      </c>
      <c r="K115" s="64">
        <f>SUM(K116:K118)</f>
        <v>0</v>
      </c>
      <c r="L115" s="82" t="s">
        <v>4</v>
      </c>
      <c r="M115" s="64">
        <f>SUM(M116:M118)</f>
        <v>0</v>
      </c>
      <c r="N115" s="82" t="s">
        <v>4</v>
      </c>
      <c r="O115" s="64">
        <f>SUM(O116:O118)</f>
        <v>0</v>
      </c>
      <c r="P115" s="27"/>
      <c r="Q115" s="27"/>
      <c r="R115" s="28"/>
      <c r="S115" s="28"/>
    </row>
    <row r="116" spans="1:19" s="29" customFormat="1" ht="15" customHeight="1" x14ac:dyDescent="0.15">
      <c r="A116" s="140"/>
      <c r="B116" s="148"/>
      <c r="C116" s="136"/>
      <c r="D116" s="57" t="s">
        <v>45</v>
      </c>
      <c r="E116" s="58"/>
      <c r="F116" s="100" t="s">
        <v>5</v>
      </c>
      <c r="G116" s="18"/>
      <c r="H116" s="100" t="s">
        <v>5</v>
      </c>
      <c r="I116" s="18"/>
      <c r="J116" s="99" t="s">
        <v>5</v>
      </c>
      <c r="K116" s="19"/>
      <c r="L116" s="99" t="s">
        <v>5</v>
      </c>
      <c r="M116" s="19"/>
      <c r="N116" s="70" t="s">
        <v>5</v>
      </c>
      <c r="O116" s="71">
        <f>I116-K116-M116</f>
        <v>0</v>
      </c>
      <c r="P116" s="27"/>
      <c r="Q116" s="27"/>
      <c r="R116" s="28"/>
      <c r="S116" s="28"/>
    </row>
    <row r="117" spans="1:19" s="29" customFormat="1" ht="15" customHeight="1" x14ac:dyDescent="0.15">
      <c r="A117" s="150" t="s">
        <v>118</v>
      </c>
      <c r="B117" s="148" t="s">
        <v>102</v>
      </c>
      <c r="C117" s="136"/>
      <c r="D117" s="57" t="s">
        <v>15</v>
      </c>
      <c r="E117" s="58"/>
      <c r="F117" s="101" t="s">
        <v>17</v>
      </c>
      <c r="G117" s="18">
        <v>2300000</v>
      </c>
      <c r="H117" s="100" t="s">
        <v>17</v>
      </c>
      <c r="I117" s="18"/>
      <c r="J117" s="99" t="s">
        <v>17</v>
      </c>
      <c r="K117" s="19"/>
      <c r="L117" s="99" t="s">
        <v>17</v>
      </c>
      <c r="M117" s="19"/>
      <c r="N117" s="70" t="s">
        <v>17</v>
      </c>
      <c r="O117" s="71">
        <f>I117-K117-M117</f>
        <v>0</v>
      </c>
      <c r="P117" s="27"/>
      <c r="Q117" s="27"/>
      <c r="R117" s="28"/>
      <c r="S117" s="28"/>
    </row>
    <row r="118" spans="1:19" s="29" customFormat="1" ht="15" customHeight="1" x14ac:dyDescent="0.15">
      <c r="A118" s="149"/>
      <c r="B118" s="148"/>
      <c r="C118" s="136"/>
      <c r="D118" s="59" t="s">
        <v>47</v>
      </c>
      <c r="E118" s="60"/>
      <c r="F118" s="98" t="s">
        <v>18</v>
      </c>
      <c r="G118" s="20"/>
      <c r="H118" s="98" t="s">
        <v>18</v>
      </c>
      <c r="I118" s="20"/>
      <c r="J118" s="97" t="s">
        <v>18</v>
      </c>
      <c r="K118" s="21"/>
      <c r="L118" s="97" t="s">
        <v>18</v>
      </c>
      <c r="M118" s="21"/>
      <c r="N118" s="72" t="s">
        <v>18</v>
      </c>
      <c r="O118" s="73">
        <f>I118-K118-M118</f>
        <v>0</v>
      </c>
      <c r="P118" s="27"/>
      <c r="Q118" s="27"/>
      <c r="R118" s="28"/>
      <c r="S118" s="28"/>
    </row>
    <row r="119" spans="1:19" s="29" customFormat="1" ht="15" customHeight="1" x14ac:dyDescent="0.15">
      <c r="A119" s="140" t="s">
        <v>49</v>
      </c>
      <c r="B119" s="147" t="s">
        <v>92</v>
      </c>
      <c r="C119" s="135"/>
      <c r="D119" s="61" t="s">
        <v>16</v>
      </c>
      <c r="E119" s="62"/>
      <c r="F119" s="63" t="s">
        <v>4</v>
      </c>
      <c r="G119" s="64">
        <f>SUM(G120:G122)</f>
        <v>450000</v>
      </c>
      <c r="H119" s="83" t="s">
        <v>4</v>
      </c>
      <c r="I119" s="64">
        <f>SUM(I120:I122)</f>
        <v>0</v>
      </c>
      <c r="J119" s="82" t="s">
        <v>4</v>
      </c>
      <c r="K119" s="64">
        <f>SUM(K120:K122)</f>
        <v>0</v>
      </c>
      <c r="L119" s="82" t="s">
        <v>4</v>
      </c>
      <c r="M119" s="64">
        <f>SUM(M120:M122)</f>
        <v>0</v>
      </c>
      <c r="N119" s="82" t="s">
        <v>4</v>
      </c>
      <c r="O119" s="64">
        <f>SUM(O120:O122)</f>
        <v>0</v>
      </c>
      <c r="P119" s="27"/>
      <c r="Q119" s="27"/>
      <c r="R119" s="28"/>
      <c r="S119" s="28"/>
    </row>
    <row r="120" spans="1:19" s="29" customFormat="1" ht="15" customHeight="1" x14ac:dyDescent="0.15">
      <c r="A120" s="140"/>
      <c r="B120" s="148"/>
      <c r="C120" s="136"/>
      <c r="D120" s="57" t="s">
        <v>45</v>
      </c>
      <c r="E120" s="58"/>
      <c r="F120" s="100" t="s">
        <v>5</v>
      </c>
      <c r="G120" s="18"/>
      <c r="H120" s="100" t="s">
        <v>5</v>
      </c>
      <c r="I120" s="18"/>
      <c r="J120" s="99" t="s">
        <v>5</v>
      </c>
      <c r="K120" s="19"/>
      <c r="L120" s="99" t="s">
        <v>5</v>
      </c>
      <c r="M120" s="19"/>
      <c r="N120" s="70" t="s">
        <v>5</v>
      </c>
      <c r="O120" s="71">
        <f>I120-K120-M120</f>
        <v>0</v>
      </c>
      <c r="P120" s="27"/>
      <c r="Q120" s="27"/>
      <c r="R120" s="28"/>
      <c r="S120" s="28"/>
    </row>
    <row r="121" spans="1:19" s="29" customFormat="1" ht="15" customHeight="1" x14ac:dyDescent="0.15">
      <c r="A121" s="150" t="s">
        <v>118</v>
      </c>
      <c r="B121" s="148" t="s">
        <v>93</v>
      </c>
      <c r="C121" s="136"/>
      <c r="D121" s="57" t="s">
        <v>15</v>
      </c>
      <c r="E121" s="58"/>
      <c r="F121" s="101" t="s">
        <v>17</v>
      </c>
      <c r="G121" s="18">
        <v>450000</v>
      </c>
      <c r="H121" s="100" t="s">
        <v>17</v>
      </c>
      <c r="I121" s="18"/>
      <c r="J121" s="99" t="s">
        <v>17</v>
      </c>
      <c r="K121" s="19"/>
      <c r="L121" s="99" t="s">
        <v>17</v>
      </c>
      <c r="M121" s="19"/>
      <c r="N121" s="70" t="s">
        <v>17</v>
      </c>
      <c r="O121" s="71">
        <f>I121-K121-M121</f>
        <v>0</v>
      </c>
      <c r="P121" s="27"/>
      <c r="Q121" s="27"/>
      <c r="R121" s="28"/>
      <c r="S121" s="28"/>
    </row>
    <row r="122" spans="1:19" s="29" customFormat="1" ht="15" customHeight="1" x14ac:dyDescent="0.15">
      <c r="A122" s="149"/>
      <c r="B122" s="148"/>
      <c r="C122" s="136"/>
      <c r="D122" s="59" t="s">
        <v>47</v>
      </c>
      <c r="E122" s="60"/>
      <c r="F122" s="98" t="s">
        <v>18</v>
      </c>
      <c r="G122" s="20"/>
      <c r="H122" s="98" t="s">
        <v>18</v>
      </c>
      <c r="I122" s="20"/>
      <c r="J122" s="97" t="s">
        <v>18</v>
      </c>
      <c r="K122" s="21"/>
      <c r="L122" s="97" t="s">
        <v>18</v>
      </c>
      <c r="M122" s="21"/>
      <c r="N122" s="72" t="s">
        <v>18</v>
      </c>
      <c r="O122" s="73">
        <f>I122-K122-M122</f>
        <v>0</v>
      </c>
      <c r="P122" s="27"/>
      <c r="Q122" s="27"/>
      <c r="R122" s="28"/>
      <c r="S122" s="28"/>
    </row>
    <row r="123" spans="1:19" s="29" customFormat="1" ht="15" customHeight="1" x14ac:dyDescent="0.15">
      <c r="A123" s="140" t="s">
        <v>49</v>
      </c>
      <c r="B123" s="147" t="s">
        <v>94</v>
      </c>
      <c r="C123" s="135"/>
      <c r="D123" s="61" t="s">
        <v>16</v>
      </c>
      <c r="E123" s="62"/>
      <c r="F123" s="63" t="s">
        <v>4</v>
      </c>
      <c r="G123" s="64">
        <f>SUM(G124:G126)</f>
        <v>5000000</v>
      </c>
      <c r="H123" s="83" t="s">
        <v>4</v>
      </c>
      <c r="I123" s="64">
        <f>SUM(I124:I126)</f>
        <v>0</v>
      </c>
      <c r="J123" s="82" t="s">
        <v>4</v>
      </c>
      <c r="K123" s="64">
        <f>SUM(K124:K126)</f>
        <v>0</v>
      </c>
      <c r="L123" s="82" t="s">
        <v>4</v>
      </c>
      <c r="M123" s="64">
        <f>SUM(M124:M126)</f>
        <v>0</v>
      </c>
      <c r="N123" s="82" t="s">
        <v>4</v>
      </c>
      <c r="O123" s="64">
        <f>SUM(O124:O126)</f>
        <v>0</v>
      </c>
      <c r="P123" s="27"/>
      <c r="Q123" s="27"/>
      <c r="R123" s="28"/>
      <c r="S123" s="28"/>
    </row>
    <row r="124" spans="1:19" s="29" customFormat="1" ht="15" customHeight="1" x14ac:dyDescent="0.15">
      <c r="A124" s="140"/>
      <c r="B124" s="148"/>
      <c r="C124" s="136"/>
      <c r="D124" s="57" t="s">
        <v>45</v>
      </c>
      <c r="E124" s="58"/>
      <c r="F124" s="100" t="s">
        <v>5</v>
      </c>
      <c r="G124" s="18"/>
      <c r="H124" s="100" t="s">
        <v>5</v>
      </c>
      <c r="I124" s="18"/>
      <c r="J124" s="99" t="s">
        <v>5</v>
      </c>
      <c r="K124" s="19"/>
      <c r="L124" s="99" t="s">
        <v>5</v>
      </c>
      <c r="M124" s="19"/>
      <c r="N124" s="70" t="s">
        <v>5</v>
      </c>
      <c r="O124" s="71">
        <f>I124-K124-M124</f>
        <v>0</v>
      </c>
      <c r="P124" s="27"/>
      <c r="Q124" s="27"/>
      <c r="R124" s="28"/>
      <c r="S124" s="28"/>
    </row>
    <row r="125" spans="1:19" s="29" customFormat="1" ht="15" customHeight="1" x14ac:dyDescent="0.15">
      <c r="A125" s="150" t="s">
        <v>119</v>
      </c>
      <c r="B125" s="148" t="s">
        <v>95</v>
      </c>
      <c r="C125" s="136"/>
      <c r="D125" s="57" t="s">
        <v>15</v>
      </c>
      <c r="E125" s="58"/>
      <c r="F125" s="101" t="s">
        <v>17</v>
      </c>
      <c r="G125" s="18">
        <v>5000000</v>
      </c>
      <c r="H125" s="100" t="s">
        <v>17</v>
      </c>
      <c r="I125" s="18"/>
      <c r="J125" s="99" t="s">
        <v>17</v>
      </c>
      <c r="K125" s="19"/>
      <c r="L125" s="99" t="s">
        <v>17</v>
      </c>
      <c r="M125" s="19"/>
      <c r="N125" s="70" t="s">
        <v>17</v>
      </c>
      <c r="O125" s="71">
        <f>I125-K125-M125</f>
        <v>0</v>
      </c>
      <c r="P125" s="27"/>
      <c r="Q125" s="27"/>
      <c r="R125" s="28"/>
      <c r="S125" s="28"/>
    </row>
    <row r="126" spans="1:19" s="29" customFormat="1" ht="15" customHeight="1" x14ac:dyDescent="0.15">
      <c r="A126" s="149"/>
      <c r="B126" s="148"/>
      <c r="C126" s="136"/>
      <c r="D126" s="59" t="s">
        <v>47</v>
      </c>
      <c r="E126" s="60"/>
      <c r="F126" s="98" t="s">
        <v>18</v>
      </c>
      <c r="G126" s="20"/>
      <c r="H126" s="98" t="s">
        <v>18</v>
      </c>
      <c r="I126" s="20"/>
      <c r="J126" s="97" t="s">
        <v>18</v>
      </c>
      <c r="K126" s="21"/>
      <c r="L126" s="97" t="s">
        <v>18</v>
      </c>
      <c r="M126" s="21"/>
      <c r="N126" s="72" t="s">
        <v>18</v>
      </c>
      <c r="O126" s="73">
        <f>I126-K126-M126</f>
        <v>0</v>
      </c>
      <c r="P126" s="27"/>
      <c r="Q126" s="27"/>
      <c r="R126" s="28"/>
      <c r="S126" s="28"/>
    </row>
    <row r="127" spans="1:19" s="29" customFormat="1" ht="15" customHeight="1" x14ac:dyDescent="0.15">
      <c r="A127" s="140" t="s">
        <v>49</v>
      </c>
      <c r="B127" s="147" t="s">
        <v>94</v>
      </c>
      <c r="C127" s="135"/>
      <c r="D127" s="61" t="s">
        <v>16</v>
      </c>
      <c r="E127" s="62"/>
      <c r="F127" s="63" t="s">
        <v>4</v>
      </c>
      <c r="G127" s="64">
        <f>SUM(G128:G130)</f>
        <v>9454000</v>
      </c>
      <c r="H127" s="83" t="s">
        <v>4</v>
      </c>
      <c r="I127" s="64">
        <f>SUM(I128:I130)</f>
        <v>0</v>
      </c>
      <c r="J127" s="82" t="s">
        <v>4</v>
      </c>
      <c r="K127" s="64">
        <f>SUM(K128:K130)</f>
        <v>0</v>
      </c>
      <c r="L127" s="82" t="s">
        <v>4</v>
      </c>
      <c r="M127" s="64">
        <f>SUM(M128:M130)</f>
        <v>0</v>
      </c>
      <c r="N127" s="82" t="s">
        <v>4</v>
      </c>
      <c r="O127" s="64">
        <f>SUM(O128:O130)</f>
        <v>0</v>
      </c>
      <c r="P127" s="27"/>
      <c r="Q127" s="27"/>
      <c r="R127" s="28"/>
      <c r="S127" s="28"/>
    </row>
    <row r="128" spans="1:19" s="29" customFormat="1" ht="15" customHeight="1" x14ac:dyDescent="0.15">
      <c r="A128" s="140"/>
      <c r="B128" s="148"/>
      <c r="C128" s="136"/>
      <c r="D128" s="57" t="s">
        <v>45</v>
      </c>
      <c r="E128" s="58"/>
      <c r="F128" s="100" t="s">
        <v>5</v>
      </c>
      <c r="G128" s="18">
        <v>9454000</v>
      </c>
      <c r="H128" s="100" t="s">
        <v>5</v>
      </c>
      <c r="I128" s="18"/>
      <c r="J128" s="99" t="s">
        <v>5</v>
      </c>
      <c r="K128" s="19"/>
      <c r="L128" s="99" t="s">
        <v>5</v>
      </c>
      <c r="M128" s="19"/>
      <c r="N128" s="70" t="s">
        <v>5</v>
      </c>
      <c r="O128" s="71">
        <f>I128-K128-M128</f>
        <v>0</v>
      </c>
      <c r="P128" s="27"/>
      <c r="Q128" s="27"/>
      <c r="R128" s="28"/>
      <c r="S128" s="28"/>
    </row>
    <row r="129" spans="1:19" s="29" customFormat="1" ht="15" customHeight="1" x14ac:dyDescent="0.15">
      <c r="A129" s="150" t="s">
        <v>120</v>
      </c>
      <c r="B129" s="148" t="s">
        <v>95</v>
      </c>
      <c r="C129" s="136"/>
      <c r="D129" s="57" t="s">
        <v>15</v>
      </c>
      <c r="E129" s="58"/>
      <c r="F129" s="101" t="s">
        <v>17</v>
      </c>
      <c r="G129" s="18"/>
      <c r="H129" s="100" t="s">
        <v>17</v>
      </c>
      <c r="I129" s="18"/>
      <c r="J129" s="99" t="s">
        <v>17</v>
      </c>
      <c r="K129" s="19"/>
      <c r="L129" s="99" t="s">
        <v>17</v>
      </c>
      <c r="M129" s="19"/>
      <c r="N129" s="70" t="s">
        <v>17</v>
      </c>
      <c r="O129" s="71">
        <f>I129-K129-M129</f>
        <v>0</v>
      </c>
      <c r="P129" s="27"/>
      <c r="Q129" s="27"/>
      <c r="R129" s="28"/>
      <c r="S129" s="28"/>
    </row>
    <row r="130" spans="1:19" s="29" customFormat="1" ht="15" customHeight="1" x14ac:dyDescent="0.15">
      <c r="A130" s="149"/>
      <c r="B130" s="148"/>
      <c r="C130" s="136"/>
      <c r="D130" s="59" t="s">
        <v>47</v>
      </c>
      <c r="E130" s="60"/>
      <c r="F130" s="98" t="s">
        <v>18</v>
      </c>
      <c r="G130" s="20"/>
      <c r="H130" s="98" t="s">
        <v>18</v>
      </c>
      <c r="I130" s="20"/>
      <c r="J130" s="97" t="s">
        <v>18</v>
      </c>
      <c r="K130" s="21"/>
      <c r="L130" s="97" t="s">
        <v>18</v>
      </c>
      <c r="M130" s="21"/>
      <c r="N130" s="72" t="s">
        <v>18</v>
      </c>
      <c r="O130" s="73">
        <f>I130-K130-M130</f>
        <v>0</v>
      </c>
      <c r="P130" s="27"/>
      <c r="Q130" s="27"/>
      <c r="R130" s="28"/>
      <c r="S130" s="28"/>
    </row>
    <row r="131" spans="1:19" s="29" customFormat="1" ht="15" customHeight="1" x14ac:dyDescent="0.15">
      <c r="A131" s="140" t="s">
        <v>49</v>
      </c>
      <c r="B131" s="151" t="s">
        <v>98</v>
      </c>
      <c r="C131" s="135"/>
      <c r="D131" s="61" t="s">
        <v>16</v>
      </c>
      <c r="E131" s="62"/>
      <c r="F131" s="63" t="s">
        <v>4</v>
      </c>
      <c r="G131" s="64">
        <f>SUM(G132:G134)</f>
        <v>2248872000</v>
      </c>
      <c r="H131" s="83" t="s">
        <v>4</v>
      </c>
      <c r="I131" s="64">
        <f>SUM(I132:I134)</f>
        <v>0</v>
      </c>
      <c r="J131" s="82" t="s">
        <v>4</v>
      </c>
      <c r="K131" s="64">
        <f>SUM(K132:K134)</f>
        <v>0</v>
      </c>
      <c r="L131" s="82" t="s">
        <v>4</v>
      </c>
      <c r="M131" s="64">
        <f>SUM(M132:M134)</f>
        <v>0</v>
      </c>
      <c r="N131" s="82" t="s">
        <v>4</v>
      </c>
      <c r="O131" s="64">
        <f>SUM(O132:O134)</f>
        <v>0</v>
      </c>
      <c r="P131" s="27"/>
      <c r="Q131" s="27"/>
      <c r="R131" s="28"/>
      <c r="S131" s="28"/>
    </row>
    <row r="132" spans="1:19" s="29" customFormat="1" ht="15" customHeight="1" x14ac:dyDescent="0.15">
      <c r="A132" s="140"/>
      <c r="B132" s="148"/>
      <c r="C132" s="136"/>
      <c r="D132" s="57" t="s">
        <v>45</v>
      </c>
      <c r="E132" s="58"/>
      <c r="F132" s="100" t="s">
        <v>5</v>
      </c>
      <c r="G132" s="18">
        <v>2248872000</v>
      </c>
      <c r="H132" s="100" t="s">
        <v>5</v>
      </c>
      <c r="I132" s="18"/>
      <c r="J132" s="99" t="s">
        <v>5</v>
      </c>
      <c r="K132" s="19"/>
      <c r="L132" s="99" t="s">
        <v>5</v>
      </c>
      <c r="M132" s="19"/>
      <c r="N132" s="70" t="s">
        <v>5</v>
      </c>
      <c r="O132" s="71">
        <f>I132-K132-M132</f>
        <v>0</v>
      </c>
      <c r="P132" s="27"/>
      <c r="Q132" s="27"/>
      <c r="R132" s="28"/>
      <c r="S132" s="28"/>
    </row>
    <row r="133" spans="1:19" s="29" customFormat="1" ht="15" customHeight="1" x14ac:dyDescent="0.15">
      <c r="A133" s="150" t="s">
        <v>119</v>
      </c>
      <c r="B133" s="148" t="s">
        <v>102</v>
      </c>
      <c r="C133" s="136"/>
      <c r="D133" s="57" t="s">
        <v>15</v>
      </c>
      <c r="E133" s="58"/>
      <c r="F133" s="101" t="s">
        <v>17</v>
      </c>
      <c r="G133" s="18"/>
      <c r="H133" s="100" t="s">
        <v>17</v>
      </c>
      <c r="I133" s="18"/>
      <c r="J133" s="99" t="s">
        <v>17</v>
      </c>
      <c r="K133" s="19"/>
      <c r="L133" s="99" t="s">
        <v>17</v>
      </c>
      <c r="M133" s="19"/>
      <c r="N133" s="70" t="s">
        <v>17</v>
      </c>
      <c r="O133" s="71">
        <f>I133-K133-M133</f>
        <v>0</v>
      </c>
      <c r="P133" s="27"/>
      <c r="Q133" s="27"/>
      <c r="R133" s="28"/>
      <c r="S133" s="28"/>
    </row>
    <row r="134" spans="1:19" s="29" customFormat="1" ht="15" customHeight="1" x14ac:dyDescent="0.15">
      <c r="A134" s="149"/>
      <c r="B134" s="148"/>
      <c r="C134" s="136"/>
      <c r="D134" s="59" t="s">
        <v>47</v>
      </c>
      <c r="E134" s="60"/>
      <c r="F134" s="98" t="s">
        <v>18</v>
      </c>
      <c r="G134" s="20"/>
      <c r="H134" s="98" t="s">
        <v>18</v>
      </c>
      <c r="I134" s="20"/>
      <c r="J134" s="97" t="s">
        <v>18</v>
      </c>
      <c r="K134" s="21"/>
      <c r="L134" s="97" t="s">
        <v>18</v>
      </c>
      <c r="M134" s="21"/>
      <c r="N134" s="72" t="s">
        <v>18</v>
      </c>
      <c r="O134" s="73">
        <f>I134-K134-M134</f>
        <v>0</v>
      </c>
      <c r="P134" s="27"/>
      <c r="Q134" s="27"/>
      <c r="R134" s="28"/>
      <c r="S134" s="28"/>
    </row>
    <row r="135" spans="1:19" s="29" customFormat="1" ht="15" customHeight="1" x14ac:dyDescent="0.15">
      <c r="A135" s="140" t="s">
        <v>60</v>
      </c>
      <c r="B135" s="147" t="s">
        <v>53</v>
      </c>
      <c r="C135" s="135"/>
      <c r="D135" s="61" t="s">
        <v>44</v>
      </c>
      <c r="E135" s="62"/>
      <c r="F135" s="63" t="s">
        <v>4</v>
      </c>
      <c r="G135" s="64">
        <f>SUM(G136:G138)</f>
        <v>2012500000</v>
      </c>
      <c r="H135" s="83" t="s">
        <v>4</v>
      </c>
      <c r="I135" s="64">
        <f>SUM(I136:I138)</f>
        <v>0</v>
      </c>
      <c r="J135" s="82" t="s">
        <v>4</v>
      </c>
      <c r="K135" s="64">
        <f>SUM(K136:K138)</f>
        <v>0</v>
      </c>
      <c r="L135" s="82" t="s">
        <v>4</v>
      </c>
      <c r="M135" s="64">
        <f>SUM(M136:M138)</f>
        <v>0</v>
      </c>
      <c r="N135" s="102" t="s">
        <v>4</v>
      </c>
      <c r="O135" s="64">
        <f>SUM(O136:O138)</f>
        <v>0</v>
      </c>
      <c r="P135" s="27"/>
      <c r="Q135" s="27"/>
      <c r="R135" s="28"/>
      <c r="S135" s="28"/>
    </row>
    <row r="136" spans="1:19" s="29" customFormat="1" ht="15" customHeight="1" x14ac:dyDescent="0.15">
      <c r="A136" s="140"/>
      <c r="B136" s="148"/>
      <c r="C136" s="136"/>
      <c r="D136" s="57" t="s">
        <v>45</v>
      </c>
      <c r="E136" s="58"/>
      <c r="F136" s="100" t="s">
        <v>5</v>
      </c>
      <c r="G136" s="18">
        <v>1610000000</v>
      </c>
      <c r="H136" s="100" t="s">
        <v>5</v>
      </c>
      <c r="I136" s="18"/>
      <c r="J136" s="99" t="s">
        <v>5</v>
      </c>
      <c r="K136" s="19"/>
      <c r="L136" s="99" t="s">
        <v>5</v>
      </c>
      <c r="M136" s="19"/>
      <c r="N136" s="70" t="s">
        <v>5</v>
      </c>
      <c r="O136" s="71">
        <f>I136-K136-M136</f>
        <v>0</v>
      </c>
      <c r="P136" s="27"/>
      <c r="Q136" s="27"/>
      <c r="R136" s="28"/>
      <c r="S136" s="28"/>
    </row>
    <row r="137" spans="1:19" s="29" customFormat="1" ht="15" customHeight="1" x14ac:dyDescent="0.15">
      <c r="A137" s="140" t="s">
        <v>61</v>
      </c>
      <c r="B137" s="148" t="s">
        <v>55</v>
      </c>
      <c r="C137" s="136"/>
      <c r="D137" s="57" t="s">
        <v>46</v>
      </c>
      <c r="E137" s="58"/>
      <c r="F137" s="101" t="s">
        <v>17</v>
      </c>
      <c r="G137" s="18">
        <v>201250000</v>
      </c>
      <c r="H137" s="100" t="s">
        <v>17</v>
      </c>
      <c r="I137" s="18"/>
      <c r="J137" s="99" t="s">
        <v>17</v>
      </c>
      <c r="K137" s="19"/>
      <c r="L137" s="99" t="s">
        <v>17</v>
      </c>
      <c r="M137" s="19"/>
      <c r="N137" s="70" t="s">
        <v>17</v>
      </c>
      <c r="O137" s="71">
        <f>I137-K137-M137</f>
        <v>0</v>
      </c>
      <c r="P137" s="27"/>
      <c r="Q137" s="27"/>
      <c r="R137" s="28"/>
      <c r="S137" s="28"/>
    </row>
    <row r="138" spans="1:19" s="29" customFormat="1" ht="15" customHeight="1" x14ac:dyDescent="0.15">
      <c r="A138" s="140"/>
      <c r="B138" s="148"/>
      <c r="C138" s="136"/>
      <c r="D138" s="59" t="s">
        <v>47</v>
      </c>
      <c r="E138" s="60"/>
      <c r="F138" s="98" t="s">
        <v>18</v>
      </c>
      <c r="G138" s="20">
        <v>201250000</v>
      </c>
      <c r="H138" s="98" t="s">
        <v>18</v>
      </c>
      <c r="I138" s="20"/>
      <c r="J138" s="97" t="s">
        <v>18</v>
      </c>
      <c r="K138" s="21"/>
      <c r="L138" s="97" t="s">
        <v>18</v>
      </c>
      <c r="M138" s="21"/>
      <c r="N138" s="72" t="s">
        <v>18</v>
      </c>
      <c r="O138" s="73">
        <f>I138-K138-M138</f>
        <v>0</v>
      </c>
      <c r="P138" s="27"/>
      <c r="Q138" s="27"/>
      <c r="R138" s="28"/>
      <c r="S138" s="28"/>
    </row>
    <row r="139" spans="1:19" s="29" customFormat="1" ht="15" customHeight="1" x14ac:dyDescent="0.15">
      <c r="A139" s="140" t="s">
        <v>60</v>
      </c>
      <c r="B139" s="141" t="s">
        <v>111</v>
      </c>
      <c r="C139" s="143"/>
      <c r="D139" s="61" t="s">
        <v>44</v>
      </c>
      <c r="E139" s="62"/>
      <c r="F139" s="63" t="s">
        <v>4</v>
      </c>
      <c r="G139" s="64">
        <f>SUM(G140:G142)</f>
        <v>31000000</v>
      </c>
      <c r="H139" s="83" t="s">
        <v>4</v>
      </c>
      <c r="I139" s="64">
        <f>SUM(I140:I142)</f>
        <v>0</v>
      </c>
      <c r="J139" s="82" t="s">
        <v>4</v>
      </c>
      <c r="K139" s="64">
        <f>SUM(K140:K142)</f>
        <v>0</v>
      </c>
      <c r="L139" s="82" t="s">
        <v>4</v>
      </c>
      <c r="M139" s="64">
        <f>SUM(M140:M142)</f>
        <v>0</v>
      </c>
      <c r="N139" s="82" t="s">
        <v>4</v>
      </c>
      <c r="O139" s="64">
        <f>SUM(O140:O142)</f>
        <v>0</v>
      </c>
      <c r="P139" s="27"/>
      <c r="Q139" s="27"/>
      <c r="R139" s="28"/>
      <c r="S139" s="28"/>
    </row>
    <row r="140" spans="1:19" s="29" customFormat="1" ht="15" customHeight="1" x14ac:dyDescent="0.15">
      <c r="A140" s="140"/>
      <c r="B140" s="142"/>
      <c r="C140" s="144"/>
      <c r="D140" s="57" t="s">
        <v>45</v>
      </c>
      <c r="E140" s="58"/>
      <c r="F140" s="100" t="s">
        <v>5</v>
      </c>
      <c r="G140" s="18"/>
      <c r="H140" s="100" t="s">
        <v>5</v>
      </c>
      <c r="I140" s="18"/>
      <c r="J140" s="99" t="s">
        <v>5</v>
      </c>
      <c r="K140" s="19"/>
      <c r="L140" s="99" t="s">
        <v>5</v>
      </c>
      <c r="M140" s="19"/>
      <c r="N140" s="70" t="s">
        <v>5</v>
      </c>
      <c r="O140" s="71">
        <f>I140-K140-M140</f>
        <v>0</v>
      </c>
      <c r="P140" s="27"/>
      <c r="Q140" s="27"/>
      <c r="R140" s="28"/>
      <c r="S140" s="28"/>
    </row>
    <row r="141" spans="1:19" s="29" customFormat="1" ht="15" customHeight="1" x14ac:dyDescent="0.15">
      <c r="A141" s="142" t="s">
        <v>62</v>
      </c>
      <c r="B141" s="142" t="s">
        <v>59</v>
      </c>
      <c r="C141" s="144"/>
      <c r="D141" s="57" t="s">
        <v>46</v>
      </c>
      <c r="E141" s="58"/>
      <c r="F141" s="101" t="s">
        <v>17</v>
      </c>
      <c r="G141" s="20">
        <v>3000000</v>
      </c>
      <c r="H141" s="100" t="s">
        <v>17</v>
      </c>
      <c r="I141" s="18"/>
      <c r="J141" s="99" t="s">
        <v>17</v>
      </c>
      <c r="K141" s="19"/>
      <c r="L141" s="99" t="s">
        <v>17</v>
      </c>
      <c r="M141" s="19"/>
      <c r="N141" s="70" t="s">
        <v>17</v>
      </c>
      <c r="O141" s="71">
        <f>I141-K141-M141</f>
        <v>0</v>
      </c>
      <c r="P141" s="27"/>
      <c r="Q141" s="27"/>
      <c r="R141" s="28"/>
      <c r="S141" s="28"/>
    </row>
    <row r="142" spans="1:19" s="29" customFormat="1" ht="15" customHeight="1" x14ac:dyDescent="0.15">
      <c r="A142" s="146"/>
      <c r="B142" s="146"/>
      <c r="C142" s="145"/>
      <c r="D142" s="59" t="s">
        <v>47</v>
      </c>
      <c r="E142" s="60"/>
      <c r="F142" s="98" t="s">
        <v>18</v>
      </c>
      <c r="G142" s="20">
        <v>28000000</v>
      </c>
      <c r="H142" s="98" t="s">
        <v>18</v>
      </c>
      <c r="I142" s="20"/>
      <c r="J142" s="97" t="s">
        <v>18</v>
      </c>
      <c r="K142" s="21"/>
      <c r="L142" s="97" t="s">
        <v>18</v>
      </c>
      <c r="M142" s="21"/>
      <c r="N142" s="72" t="s">
        <v>18</v>
      </c>
      <c r="O142" s="73">
        <f>I142-K142-M142</f>
        <v>0</v>
      </c>
      <c r="P142" s="27"/>
      <c r="Q142" s="27"/>
      <c r="R142" s="28"/>
      <c r="S142" s="28"/>
    </row>
    <row r="143" spans="1:19" s="29" customFormat="1" ht="15" customHeight="1" x14ac:dyDescent="0.15">
      <c r="A143" s="140" t="s">
        <v>60</v>
      </c>
      <c r="B143" s="141" t="s">
        <v>28</v>
      </c>
      <c r="C143" s="143"/>
      <c r="D143" s="61" t="s">
        <v>44</v>
      </c>
      <c r="E143" s="62"/>
      <c r="F143" s="63" t="s">
        <v>4</v>
      </c>
      <c r="G143" s="64">
        <f>SUM(G144:G146)</f>
        <v>50000000</v>
      </c>
      <c r="H143" s="83" t="s">
        <v>4</v>
      </c>
      <c r="I143" s="64">
        <f>SUM(I144:I146)</f>
        <v>0</v>
      </c>
      <c r="J143" s="82" t="s">
        <v>4</v>
      </c>
      <c r="K143" s="64">
        <f>SUM(K144:K146)</f>
        <v>0</v>
      </c>
      <c r="L143" s="82" t="s">
        <v>4</v>
      </c>
      <c r="M143" s="64">
        <f>SUM(M144:M146)</f>
        <v>0</v>
      </c>
      <c r="N143" s="82" t="s">
        <v>4</v>
      </c>
      <c r="O143" s="64">
        <f>SUM(O144:O146)</f>
        <v>0</v>
      </c>
      <c r="P143" s="27"/>
      <c r="Q143" s="27"/>
      <c r="R143" s="28"/>
      <c r="S143" s="28"/>
    </row>
    <row r="144" spans="1:19" s="29" customFormat="1" ht="15" customHeight="1" x14ac:dyDescent="0.15">
      <c r="A144" s="140"/>
      <c r="B144" s="142"/>
      <c r="C144" s="144"/>
      <c r="D144" s="57" t="s">
        <v>45</v>
      </c>
      <c r="E144" s="58"/>
      <c r="F144" s="100" t="s">
        <v>5</v>
      </c>
      <c r="G144" s="18"/>
      <c r="H144" s="100" t="s">
        <v>5</v>
      </c>
      <c r="I144" s="18"/>
      <c r="J144" s="99" t="s">
        <v>5</v>
      </c>
      <c r="K144" s="19"/>
      <c r="L144" s="99" t="s">
        <v>5</v>
      </c>
      <c r="M144" s="19"/>
      <c r="N144" s="70" t="s">
        <v>5</v>
      </c>
      <c r="O144" s="71">
        <f>I144-K144-M144</f>
        <v>0</v>
      </c>
      <c r="P144" s="27"/>
      <c r="Q144" s="27"/>
      <c r="R144" s="28"/>
      <c r="S144" s="28"/>
    </row>
    <row r="145" spans="1:19" s="29" customFormat="1" ht="15" customHeight="1" x14ac:dyDescent="0.15">
      <c r="A145" s="142" t="s">
        <v>63</v>
      </c>
      <c r="B145" s="142" t="s">
        <v>29</v>
      </c>
      <c r="C145" s="144"/>
      <c r="D145" s="57" t="s">
        <v>46</v>
      </c>
      <c r="E145" s="58"/>
      <c r="F145" s="101" t="s">
        <v>17</v>
      </c>
      <c r="G145" s="18">
        <v>50000000</v>
      </c>
      <c r="H145" s="100" t="s">
        <v>17</v>
      </c>
      <c r="I145" s="18"/>
      <c r="J145" s="99" t="s">
        <v>17</v>
      </c>
      <c r="K145" s="19"/>
      <c r="L145" s="99" t="s">
        <v>17</v>
      </c>
      <c r="M145" s="19"/>
      <c r="N145" s="70" t="s">
        <v>17</v>
      </c>
      <c r="O145" s="71">
        <f>I145-K145-M145</f>
        <v>0</v>
      </c>
      <c r="P145" s="27"/>
      <c r="Q145" s="27"/>
      <c r="R145" s="28"/>
      <c r="S145" s="28"/>
    </row>
    <row r="146" spans="1:19" s="29" customFormat="1" ht="15" customHeight="1" x14ac:dyDescent="0.15">
      <c r="A146" s="146"/>
      <c r="B146" s="146"/>
      <c r="C146" s="145"/>
      <c r="D146" s="59" t="s">
        <v>47</v>
      </c>
      <c r="E146" s="60"/>
      <c r="F146" s="98" t="s">
        <v>18</v>
      </c>
      <c r="G146" s="20"/>
      <c r="H146" s="98" t="s">
        <v>18</v>
      </c>
      <c r="I146" s="20"/>
      <c r="J146" s="97" t="s">
        <v>18</v>
      </c>
      <c r="K146" s="21"/>
      <c r="L146" s="97" t="s">
        <v>18</v>
      </c>
      <c r="M146" s="21"/>
      <c r="N146" s="72" t="s">
        <v>18</v>
      </c>
      <c r="O146" s="73">
        <f>I146-K146-M146</f>
        <v>0</v>
      </c>
      <c r="P146" s="27"/>
      <c r="Q146" s="27"/>
      <c r="R146" s="28"/>
      <c r="S146" s="28"/>
    </row>
    <row r="147" spans="1:19" s="29" customFormat="1" ht="15" customHeight="1" x14ac:dyDescent="0.15">
      <c r="A147" s="140" t="s">
        <v>60</v>
      </c>
      <c r="B147" s="141" t="s">
        <v>24</v>
      </c>
      <c r="C147" s="143"/>
      <c r="D147" s="61" t="s">
        <v>44</v>
      </c>
      <c r="E147" s="62"/>
      <c r="F147" s="63" t="s">
        <v>4</v>
      </c>
      <c r="G147" s="64">
        <f>SUM(G148:G150)</f>
        <v>7500000</v>
      </c>
      <c r="H147" s="83" t="s">
        <v>4</v>
      </c>
      <c r="I147" s="64">
        <f>SUM(I148:I150)</f>
        <v>0</v>
      </c>
      <c r="J147" s="82" t="s">
        <v>4</v>
      </c>
      <c r="K147" s="64">
        <f>SUM(K148:K150)</f>
        <v>0</v>
      </c>
      <c r="L147" s="82" t="s">
        <v>4</v>
      </c>
      <c r="M147" s="64">
        <f>SUM(M148:M150)</f>
        <v>0</v>
      </c>
      <c r="N147" s="82" t="s">
        <v>4</v>
      </c>
      <c r="O147" s="64">
        <f>SUM(O148:O150)</f>
        <v>0</v>
      </c>
      <c r="P147" s="27"/>
      <c r="Q147" s="27"/>
      <c r="R147" s="28"/>
      <c r="S147" s="28"/>
    </row>
    <row r="148" spans="1:19" s="29" customFormat="1" ht="15" customHeight="1" x14ac:dyDescent="0.15">
      <c r="A148" s="140"/>
      <c r="B148" s="142"/>
      <c r="C148" s="144"/>
      <c r="D148" s="57" t="s">
        <v>45</v>
      </c>
      <c r="E148" s="58"/>
      <c r="F148" s="100" t="s">
        <v>5</v>
      </c>
      <c r="G148" s="18">
        <v>3750000</v>
      </c>
      <c r="H148" s="100" t="s">
        <v>5</v>
      </c>
      <c r="I148" s="18"/>
      <c r="J148" s="100" t="s">
        <v>5</v>
      </c>
      <c r="K148" s="19"/>
      <c r="L148" s="99" t="s">
        <v>5</v>
      </c>
      <c r="M148" s="19"/>
      <c r="N148" s="70" t="s">
        <v>5</v>
      </c>
      <c r="O148" s="71">
        <f>I148-K148-M148</f>
        <v>0</v>
      </c>
      <c r="P148" s="27"/>
      <c r="Q148" s="27"/>
      <c r="R148" s="28"/>
      <c r="S148" s="28"/>
    </row>
    <row r="149" spans="1:19" s="29" customFormat="1" ht="15" customHeight="1" x14ac:dyDescent="0.15">
      <c r="A149" s="142" t="s">
        <v>64</v>
      </c>
      <c r="B149" s="142" t="s">
        <v>25</v>
      </c>
      <c r="C149" s="144"/>
      <c r="D149" s="57" t="s">
        <v>46</v>
      </c>
      <c r="E149" s="58"/>
      <c r="F149" s="101" t="s">
        <v>17</v>
      </c>
      <c r="G149" s="18">
        <v>1875000</v>
      </c>
      <c r="H149" s="101" t="s">
        <v>17</v>
      </c>
      <c r="I149" s="18"/>
      <c r="J149" s="101" t="s">
        <v>17</v>
      </c>
      <c r="K149" s="19"/>
      <c r="L149" s="99" t="s">
        <v>17</v>
      </c>
      <c r="M149" s="19"/>
      <c r="N149" s="70" t="s">
        <v>17</v>
      </c>
      <c r="O149" s="71">
        <f>I149-K149-M149</f>
        <v>0</v>
      </c>
      <c r="P149" s="27"/>
      <c r="Q149" s="27"/>
      <c r="R149" s="28"/>
      <c r="S149" s="28"/>
    </row>
    <row r="150" spans="1:19" s="29" customFormat="1" ht="15" customHeight="1" x14ac:dyDescent="0.15">
      <c r="A150" s="146"/>
      <c r="B150" s="146"/>
      <c r="C150" s="145"/>
      <c r="D150" s="59" t="s">
        <v>47</v>
      </c>
      <c r="E150" s="60"/>
      <c r="F150" s="98" t="s">
        <v>18</v>
      </c>
      <c r="G150" s="20">
        <v>1875000</v>
      </c>
      <c r="H150" s="98" t="s">
        <v>18</v>
      </c>
      <c r="I150" s="20"/>
      <c r="J150" s="98" t="s">
        <v>18</v>
      </c>
      <c r="K150" s="21"/>
      <c r="L150" s="97" t="s">
        <v>18</v>
      </c>
      <c r="M150" s="21"/>
      <c r="N150" s="72" t="s">
        <v>18</v>
      </c>
      <c r="O150" s="73">
        <f>I150-K150-M150</f>
        <v>0</v>
      </c>
      <c r="P150" s="27"/>
      <c r="Q150" s="27"/>
      <c r="R150" s="28"/>
      <c r="S150" s="28"/>
    </row>
    <row r="151" spans="1:19" s="29" customFormat="1" ht="15" customHeight="1" x14ac:dyDescent="0.15">
      <c r="A151" s="140" t="s">
        <v>60</v>
      </c>
      <c r="B151" s="141" t="s">
        <v>53</v>
      </c>
      <c r="C151" s="143"/>
      <c r="D151" s="61" t="s">
        <v>44</v>
      </c>
      <c r="E151" s="62"/>
      <c r="F151" s="63" t="s">
        <v>4</v>
      </c>
      <c r="G151" s="64">
        <f>SUM(G152:G154)</f>
        <v>7500000</v>
      </c>
      <c r="H151" s="83" t="s">
        <v>4</v>
      </c>
      <c r="I151" s="64">
        <f>SUM(I152:I154)</f>
        <v>0</v>
      </c>
      <c r="J151" s="82" t="s">
        <v>4</v>
      </c>
      <c r="K151" s="64">
        <f>SUM(K152:K154)</f>
        <v>0</v>
      </c>
      <c r="L151" s="82" t="s">
        <v>4</v>
      </c>
      <c r="M151" s="64">
        <f>SUM(M152:M154)</f>
        <v>0</v>
      </c>
      <c r="N151" s="82" t="s">
        <v>4</v>
      </c>
      <c r="O151" s="64">
        <f>SUM(O152:O154)</f>
        <v>0</v>
      </c>
      <c r="P151" s="27"/>
      <c r="Q151" s="27"/>
      <c r="R151" s="28"/>
      <c r="S151" s="28"/>
    </row>
    <row r="152" spans="1:19" s="29" customFormat="1" ht="15" customHeight="1" x14ac:dyDescent="0.15">
      <c r="A152" s="140"/>
      <c r="B152" s="142"/>
      <c r="C152" s="144"/>
      <c r="D152" s="57" t="s">
        <v>45</v>
      </c>
      <c r="E152" s="58"/>
      <c r="F152" s="100" t="s">
        <v>5</v>
      </c>
      <c r="G152" s="18">
        <v>3750000</v>
      </c>
      <c r="H152" s="100" t="s">
        <v>5</v>
      </c>
      <c r="I152" s="18"/>
      <c r="J152" s="99" t="s">
        <v>5</v>
      </c>
      <c r="K152" s="19"/>
      <c r="L152" s="99" t="s">
        <v>5</v>
      </c>
      <c r="M152" s="19"/>
      <c r="N152" s="70" t="s">
        <v>5</v>
      </c>
      <c r="O152" s="71">
        <f>I152-K152-M152</f>
        <v>0</v>
      </c>
      <c r="P152" s="27"/>
      <c r="Q152" s="27"/>
      <c r="R152" s="28"/>
      <c r="S152" s="28"/>
    </row>
    <row r="153" spans="1:19" s="29" customFormat="1" ht="15" customHeight="1" x14ac:dyDescent="0.15">
      <c r="A153" s="142" t="s">
        <v>64</v>
      </c>
      <c r="B153" s="142" t="s">
        <v>55</v>
      </c>
      <c r="C153" s="144"/>
      <c r="D153" s="57" t="s">
        <v>46</v>
      </c>
      <c r="E153" s="58"/>
      <c r="F153" s="101" t="s">
        <v>17</v>
      </c>
      <c r="G153" s="18">
        <v>1875000</v>
      </c>
      <c r="H153" s="100" t="s">
        <v>17</v>
      </c>
      <c r="I153" s="18"/>
      <c r="J153" s="99" t="s">
        <v>17</v>
      </c>
      <c r="K153" s="19"/>
      <c r="L153" s="99" t="s">
        <v>17</v>
      </c>
      <c r="M153" s="19"/>
      <c r="N153" s="70" t="s">
        <v>17</v>
      </c>
      <c r="O153" s="71">
        <f>I153-K153-M153</f>
        <v>0</v>
      </c>
      <c r="P153" s="27"/>
      <c r="Q153" s="27"/>
      <c r="R153" s="28"/>
      <c r="S153" s="28"/>
    </row>
    <row r="154" spans="1:19" s="29" customFormat="1" ht="15" customHeight="1" x14ac:dyDescent="0.15">
      <c r="A154" s="146"/>
      <c r="B154" s="146"/>
      <c r="C154" s="145"/>
      <c r="D154" s="59" t="s">
        <v>47</v>
      </c>
      <c r="E154" s="60"/>
      <c r="F154" s="98" t="s">
        <v>18</v>
      </c>
      <c r="G154" s="20">
        <v>1875000</v>
      </c>
      <c r="H154" s="98" t="s">
        <v>18</v>
      </c>
      <c r="I154" s="20"/>
      <c r="J154" s="97" t="s">
        <v>18</v>
      </c>
      <c r="K154" s="21"/>
      <c r="L154" s="97" t="s">
        <v>18</v>
      </c>
      <c r="M154" s="21"/>
      <c r="N154" s="72" t="s">
        <v>18</v>
      </c>
      <c r="O154" s="73">
        <f>I154-K154-M154</f>
        <v>0</v>
      </c>
      <c r="P154" s="27"/>
      <c r="Q154" s="27"/>
      <c r="R154" s="28"/>
      <c r="S154" s="28"/>
    </row>
    <row r="155" spans="1:19" s="29" customFormat="1" ht="15" customHeight="1" x14ac:dyDescent="0.15">
      <c r="A155" s="140" t="s">
        <v>60</v>
      </c>
      <c r="B155" s="141" t="s">
        <v>13</v>
      </c>
      <c r="C155" s="143"/>
      <c r="D155" s="61" t="s">
        <v>16</v>
      </c>
      <c r="E155" s="62"/>
      <c r="F155" s="63" t="s">
        <v>4</v>
      </c>
      <c r="G155" s="64">
        <f>SUM(G156:G158)</f>
        <v>794732000</v>
      </c>
      <c r="H155" s="83" t="s">
        <v>4</v>
      </c>
      <c r="I155" s="64">
        <f>SUM(I156:I158)</f>
        <v>0</v>
      </c>
      <c r="J155" s="82" t="s">
        <v>4</v>
      </c>
      <c r="K155" s="64">
        <f>SUM(K156:K158)</f>
        <v>0</v>
      </c>
      <c r="L155" s="82" t="s">
        <v>4</v>
      </c>
      <c r="M155" s="64">
        <f>SUM(M156:M158)</f>
        <v>0</v>
      </c>
      <c r="N155" s="82" t="s">
        <v>4</v>
      </c>
      <c r="O155" s="64">
        <f>SUM(O156:O158)</f>
        <v>0</v>
      </c>
      <c r="P155" s="27"/>
      <c r="Q155" s="27"/>
      <c r="R155" s="28"/>
      <c r="S155" s="28"/>
    </row>
    <row r="156" spans="1:19" s="29" customFormat="1" ht="15" customHeight="1" x14ac:dyDescent="0.15">
      <c r="A156" s="140"/>
      <c r="B156" s="142"/>
      <c r="C156" s="144"/>
      <c r="D156" s="57" t="s">
        <v>45</v>
      </c>
      <c r="E156" s="58"/>
      <c r="F156" s="100" t="s">
        <v>5</v>
      </c>
      <c r="G156" s="18">
        <v>397366000</v>
      </c>
      <c r="H156" s="100" t="s">
        <v>5</v>
      </c>
      <c r="I156" s="18"/>
      <c r="J156" s="99" t="s">
        <v>5</v>
      </c>
      <c r="K156" s="19"/>
      <c r="L156" s="99" t="s">
        <v>5</v>
      </c>
      <c r="M156" s="19"/>
      <c r="N156" s="70" t="s">
        <v>5</v>
      </c>
      <c r="O156" s="71">
        <f>I156-K156-M156</f>
        <v>0</v>
      </c>
      <c r="P156" s="27"/>
      <c r="Q156" s="27"/>
      <c r="R156" s="28"/>
      <c r="S156" s="28"/>
    </row>
    <row r="157" spans="1:19" s="29" customFormat="1" ht="15" customHeight="1" x14ac:dyDescent="0.15">
      <c r="A157" s="142" t="s">
        <v>65</v>
      </c>
      <c r="B157" s="142" t="s">
        <v>14</v>
      </c>
      <c r="C157" s="144"/>
      <c r="D157" s="57" t="s">
        <v>15</v>
      </c>
      <c r="E157" s="58"/>
      <c r="F157" s="101" t="s">
        <v>17</v>
      </c>
      <c r="G157" s="18">
        <v>198683000</v>
      </c>
      <c r="H157" s="100" t="s">
        <v>17</v>
      </c>
      <c r="I157" s="18"/>
      <c r="J157" s="99" t="s">
        <v>17</v>
      </c>
      <c r="K157" s="19"/>
      <c r="L157" s="99" t="s">
        <v>17</v>
      </c>
      <c r="M157" s="19"/>
      <c r="N157" s="70" t="s">
        <v>17</v>
      </c>
      <c r="O157" s="71">
        <f>I157-K157-M157</f>
        <v>0</v>
      </c>
      <c r="P157" s="27"/>
      <c r="Q157" s="27"/>
      <c r="R157" s="28"/>
      <c r="S157" s="28"/>
    </row>
    <row r="158" spans="1:19" s="29" customFormat="1" ht="15" customHeight="1" x14ac:dyDescent="0.15">
      <c r="A158" s="146"/>
      <c r="B158" s="146"/>
      <c r="C158" s="145"/>
      <c r="D158" s="59" t="s">
        <v>47</v>
      </c>
      <c r="E158" s="60"/>
      <c r="F158" s="98" t="s">
        <v>18</v>
      </c>
      <c r="G158" s="20">
        <v>198683000</v>
      </c>
      <c r="H158" s="98" t="s">
        <v>18</v>
      </c>
      <c r="I158" s="20"/>
      <c r="J158" s="97" t="s">
        <v>18</v>
      </c>
      <c r="K158" s="21"/>
      <c r="L158" s="97" t="s">
        <v>18</v>
      </c>
      <c r="M158" s="21"/>
      <c r="N158" s="72" t="s">
        <v>18</v>
      </c>
      <c r="O158" s="73">
        <f>I158-K158-M158</f>
        <v>0</v>
      </c>
      <c r="P158" s="27"/>
      <c r="Q158" s="27"/>
      <c r="R158" s="28"/>
      <c r="S158" s="28"/>
    </row>
    <row r="159" spans="1:19" s="29" customFormat="1" ht="15" customHeight="1" x14ac:dyDescent="0.15">
      <c r="A159" s="140" t="s">
        <v>60</v>
      </c>
      <c r="B159" s="141" t="s">
        <v>97</v>
      </c>
      <c r="C159" s="143"/>
      <c r="D159" s="61" t="s">
        <v>44</v>
      </c>
      <c r="E159" s="62"/>
      <c r="F159" s="63" t="s">
        <v>4</v>
      </c>
      <c r="G159" s="64">
        <f>SUM(G160:G162)</f>
        <v>19500000</v>
      </c>
      <c r="H159" s="83" t="s">
        <v>4</v>
      </c>
      <c r="I159" s="64">
        <f>SUM(I160:I162)</f>
        <v>0</v>
      </c>
      <c r="J159" s="82" t="s">
        <v>4</v>
      </c>
      <c r="K159" s="64">
        <f>SUM(K160:K162)</f>
        <v>0</v>
      </c>
      <c r="L159" s="82" t="s">
        <v>4</v>
      </c>
      <c r="M159" s="64">
        <f>SUM(M160:M162)</f>
        <v>0</v>
      </c>
      <c r="N159" s="82" t="s">
        <v>4</v>
      </c>
      <c r="O159" s="64">
        <f>SUM(O160:O162)</f>
        <v>0</v>
      </c>
      <c r="P159" s="27"/>
      <c r="Q159" s="27"/>
      <c r="R159" s="28"/>
      <c r="S159" s="28"/>
    </row>
    <row r="160" spans="1:19" s="29" customFormat="1" ht="15" customHeight="1" x14ac:dyDescent="0.15">
      <c r="A160" s="140"/>
      <c r="B160" s="142"/>
      <c r="C160" s="144"/>
      <c r="D160" s="57" t="s">
        <v>45</v>
      </c>
      <c r="E160" s="58"/>
      <c r="F160" s="100" t="s">
        <v>5</v>
      </c>
      <c r="G160" s="18">
        <v>15600000</v>
      </c>
      <c r="H160" s="100" t="s">
        <v>5</v>
      </c>
      <c r="I160" s="18"/>
      <c r="J160" s="99" t="s">
        <v>5</v>
      </c>
      <c r="K160" s="19"/>
      <c r="L160" s="99" t="s">
        <v>5</v>
      </c>
      <c r="M160" s="19"/>
      <c r="N160" s="70" t="s">
        <v>5</v>
      </c>
      <c r="O160" s="71">
        <f>I160-K160-M160</f>
        <v>0</v>
      </c>
      <c r="P160" s="27"/>
      <c r="Q160" s="27"/>
      <c r="R160" s="28"/>
      <c r="S160" s="28"/>
    </row>
    <row r="161" spans="1:19" s="29" customFormat="1" ht="15" customHeight="1" x14ac:dyDescent="0.15">
      <c r="A161" s="142" t="s">
        <v>121</v>
      </c>
      <c r="B161" s="142" t="s">
        <v>104</v>
      </c>
      <c r="C161" s="144"/>
      <c r="D161" s="57" t="s">
        <v>46</v>
      </c>
      <c r="E161" s="58"/>
      <c r="F161" s="101" t="s">
        <v>17</v>
      </c>
      <c r="G161" s="18">
        <v>1950000</v>
      </c>
      <c r="H161" s="100" t="s">
        <v>17</v>
      </c>
      <c r="I161" s="18"/>
      <c r="J161" s="99" t="s">
        <v>17</v>
      </c>
      <c r="K161" s="19"/>
      <c r="L161" s="99" t="s">
        <v>17</v>
      </c>
      <c r="M161" s="19"/>
      <c r="N161" s="70" t="s">
        <v>17</v>
      </c>
      <c r="O161" s="71">
        <f>I161-K161-M161</f>
        <v>0</v>
      </c>
      <c r="P161" s="27"/>
      <c r="Q161" s="27"/>
      <c r="R161" s="28"/>
      <c r="S161" s="28"/>
    </row>
    <row r="162" spans="1:19" s="29" customFormat="1" ht="15" customHeight="1" x14ac:dyDescent="0.15">
      <c r="A162" s="146"/>
      <c r="B162" s="146"/>
      <c r="C162" s="145"/>
      <c r="D162" s="59" t="s">
        <v>47</v>
      </c>
      <c r="E162" s="60"/>
      <c r="F162" s="98" t="s">
        <v>18</v>
      </c>
      <c r="G162" s="20">
        <v>1950000</v>
      </c>
      <c r="H162" s="98" t="s">
        <v>18</v>
      </c>
      <c r="I162" s="20"/>
      <c r="J162" s="97" t="s">
        <v>18</v>
      </c>
      <c r="K162" s="21"/>
      <c r="L162" s="97" t="s">
        <v>18</v>
      </c>
      <c r="M162" s="21"/>
      <c r="N162" s="72" t="s">
        <v>18</v>
      </c>
      <c r="O162" s="73">
        <f>I162-K162-M162</f>
        <v>0</v>
      </c>
      <c r="P162" s="27"/>
      <c r="Q162" s="27"/>
      <c r="R162" s="28"/>
      <c r="S162" s="28"/>
    </row>
    <row r="163" spans="1:19" s="84" customFormat="1" ht="15" customHeight="1" x14ac:dyDescent="0.15">
      <c r="A163" s="160" t="s">
        <v>66</v>
      </c>
      <c r="B163" s="161"/>
      <c r="C163" s="162"/>
      <c r="D163" s="94" t="s">
        <v>44</v>
      </c>
      <c r="E163" s="65">
        <f>SUMIF(D167:D334,D163,E167:E334)</f>
        <v>0</v>
      </c>
      <c r="F163" s="77" t="s">
        <v>4</v>
      </c>
      <c r="G163" s="65">
        <f>SUM(G164:G166)</f>
        <v>30948887000</v>
      </c>
      <c r="H163" s="77" t="s">
        <v>4</v>
      </c>
      <c r="I163" s="65">
        <f>SUM(I164:I166)</f>
        <v>8565423000</v>
      </c>
      <c r="J163" s="77" t="s">
        <v>4</v>
      </c>
      <c r="K163" s="65">
        <f>SUM(K164:K166)</f>
        <v>8255502100</v>
      </c>
      <c r="L163" s="77" t="s">
        <v>4</v>
      </c>
      <c r="M163" s="65">
        <f>SUM(M164:M166)</f>
        <v>267032000</v>
      </c>
      <c r="N163" s="77" t="s">
        <v>4</v>
      </c>
      <c r="O163" s="65">
        <f>SUM(O164:O166)</f>
        <v>42888900</v>
      </c>
      <c r="P163" s="8"/>
      <c r="Q163" s="8"/>
      <c r="R163" s="6"/>
      <c r="S163" s="6"/>
    </row>
    <row r="164" spans="1:19" s="84" customFormat="1" ht="15" customHeight="1" x14ac:dyDescent="0.15">
      <c r="A164" s="163"/>
      <c r="B164" s="164"/>
      <c r="C164" s="165"/>
      <c r="D164" s="92" t="s">
        <v>45</v>
      </c>
      <c r="E164" s="66">
        <f>SUMIF(D167:D334,D164,E167:E334)</f>
        <v>0</v>
      </c>
      <c r="F164" s="67" t="s">
        <v>5</v>
      </c>
      <c r="G164" s="66">
        <f>SUMIF(F168:F378,F164,G168:G378)</f>
        <v>22463364000</v>
      </c>
      <c r="H164" s="67" t="s">
        <v>5</v>
      </c>
      <c r="I164" s="66">
        <f>SUMIF(H168:H378,H164,I168:I378)</f>
        <v>8259561000</v>
      </c>
      <c r="J164" s="67" t="s">
        <v>5</v>
      </c>
      <c r="K164" s="66">
        <f>SUMIF(J168:J378,J164,K168:K378)</f>
        <v>7986121860</v>
      </c>
      <c r="L164" s="67" t="s">
        <v>5</v>
      </c>
      <c r="M164" s="66">
        <f>SUMIF(L168:L378,L164,M168:M378)</f>
        <v>242032000</v>
      </c>
      <c r="N164" s="67" t="s">
        <v>5</v>
      </c>
      <c r="O164" s="66">
        <f>SUMIF(N168:N378,N164,O168:O378)</f>
        <v>31407140</v>
      </c>
      <c r="P164" s="8"/>
      <c r="Q164" s="8"/>
      <c r="R164" s="6"/>
      <c r="S164" s="6"/>
    </row>
    <row r="165" spans="1:19" s="84" customFormat="1" ht="15" customHeight="1" x14ac:dyDescent="0.15">
      <c r="A165" s="163"/>
      <c r="B165" s="164"/>
      <c r="C165" s="165"/>
      <c r="D165" s="92" t="s">
        <v>46</v>
      </c>
      <c r="E165" s="66">
        <f>SUMIF(D168:D334,D165,E168:E334)</f>
        <v>0</v>
      </c>
      <c r="F165" s="67" t="s">
        <v>17</v>
      </c>
      <c r="G165" s="66">
        <f>SUMIF(F169:F378,F165,G169:G378)</f>
        <v>7167810000</v>
      </c>
      <c r="H165" s="67" t="s">
        <v>17</v>
      </c>
      <c r="I165" s="66">
        <f>SUMIF(H169:H378,H165,I169:I378)</f>
        <v>279138000</v>
      </c>
      <c r="J165" s="67" t="s">
        <v>17</v>
      </c>
      <c r="K165" s="66">
        <f>SUMIF(J169:J378,J165,K169:K378)</f>
        <v>242801080</v>
      </c>
      <c r="L165" s="67" t="s">
        <v>17</v>
      </c>
      <c r="M165" s="66">
        <f>SUMIF(L169:L378,L165,M169:M378)</f>
        <v>25000000</v>
      </c>
      <c r="N165" s="67" t="s">
        <v>17</v>
      </c>
      <c r="O165" s="66">
        <f>SUMIF(N169:N378,N165,O169:O378)</f>
        <v>11336920</v>
      </c>
      <c r="P165" s="8"/>
      <c r="Q165" s="8"/>
      <c r="R165" s="6"/>
      <c r="S165" s="6"/>
    </row>
    <row r="166" spans="1:19" s="84" customFormat="1" ht="15" customHeight="1" x14ac:dyDescent="0.15">
      <c r="A166" s="163"/>
      <c r="B166" s="164"/>
      <c r="C166" s="165"/>
      <c r="D166" s="93" t="s">
        <v>47</v>
      </c>
      <c r="E166" s="68">
        <f>SUMIF(D167:D334,D166,E167:E334)</f>
        <v>0</v>
      </c>
      <c r="F166" s="69" t="s">
        <v>18</v>
      </c>
      <c r="G166" s="66">
        <f>SUMIF(F170:F378,F166,G170:G378)</f>
        <v>1317713000</v>
      </c>
      <c r="H166" s="69" t="s">
        <v>18</v>
      </c>
      <c r="I166" s="66">
        <f>SUMIF(H170:H378,H166,I170:I378)</f>
        <v>26724000</v>
      </c>
      <c r="J166" s="69" t="s">
        <v>18</v>
      </c>
      <c r="K166" s="66">
        <f>SUMIF(J170:J378,J166,K170:K378)</f>
        <v>26579160</v>
      </c>
      <c r="L166" s="69" t="s">
        <v>18</v>
      </c>
      <c r="M166" s="66">
        <f>SUMIF(L170:L378,L166,M170:M378)</f>
        <v>0</v>
      </c>
      <c r="N166" s="69" t="s">
        <v>18</v>
      </c>
      <c r="O166" s="66">
        <f>SUMIF(N170:N378,N166,O170:O378)</f>
        <v>144840</v>
      </c>
      <c r="P166" s="8"/>
      <c r="Q166" s="8"/>
      <c r="R166" s="6"/>
      <c r="S166" s="6"/>
    </row>
    <row r="167" spans="1:19" s="29" customFormat="1" ht="15" customHeight="1" x14ac:dyDescent="0.15">
      <c r="A167" s="140" t="s">
        <v>12</v>
      </c>
      <c r="B167" s="147" t="s">
        <v>24</v>
      </c>
      <c r="C167" s="135"/>
      <c r="D167" s="61" t="s">
        <v>44</v>
      </c>
      <c r="E167" s="62"/>
      <c r="F167" s="63" t="s">
        <v>4</v>
      </c>
      <c r="G167" s="64">
        <f>SUM(G168:G170)</f>
        <v>131010000</v>
      </c>
      <c r="H167" s="83" t="s">
        <v>4</v>
      </c>
      <c r="I167" s="64">
        <f>SUM(I168:I170)</f>
        <v>0</v>
      </c>
      <c r="J167" s="82" t="s">
        <v>4</v>
      </c>
      <c r="K167" s="64">
        <f>SUM(K168:K170)</f>
        <v>0</v>
      </c>
      <c r="L167" s="82" t="s">
        <v>4</v>
      </c>
      <c r="M167" s="64">
        <f>SUM(M168:M170)</f>
        <v>0</v>
      </c>
      <c r="N167" s="82" t="s">
        <v>4</v>
      </c>
      <c r="O167" s="64">
        <f>SUM(O168:O170)</f>
        <v>0</v>
      </c>
      <c r="P167" s="27"/>
      <c r="Q167" s="27"/>
      <c r="R167" s="28"/>
      <c r="S167" s="28"/>
    </row>
    <row r="168" spans="1:19" s="29" customFormat="1" ht="15" customHeight="1" x14ac:dyDescent="0.15">
      <c r="A168" s="140"/>
      <c r="B168" s="148"/>
      <c r="C168" s="136"/>
      <c r="D168" s="57" t="s">
        <v>45</v>
      </c>
      <c r="E168" s="58"/>
      <c r="F168" s="54" t="s">
        <v>5</v>
      </c>
      <c r="G168" s="78">
        <v>104808000</v>
      </c>
      <c r="H168" s="54" t="s">
        <v>5</v>
      </c>
      <c r="I168" s="78"/>
      <c r="J168" s="52" t="s">
        <v>5</v>
      </c>
      <c r="K168" s="79"/>
      <c r="L168" s="52" t="s">
        <v>5</v>
      </c>
      <c r="M168" s="79"/>
      <c r="N168" s="70" t="s">
        <v>5</v>
      </c>
      <c r="O168" s="71">
        <f>I168-K168-M168</f>
        <v>0</v>
      </c>
      <c r="P168" s="27"/>
      <c r="Q168" s="27"/>
      <c r="R168" s="28"/>
      <c r="S168" s="28"/>
    </row>
    <row r="169" spans="1:19" s="29" customFormat="1" ht="15" customHeight="1" x14ac:dyDescent="0.15">
      <c r="A169" s="140" t="s">
        <v>67</v>
      </c>
      <c r="B169" s="148" t="s">
        <v>25</v>
      </c>
      <c r="C169" s="136"/>
      <c r="D169" s="57" t="s">
        <v>46</v>
      </c>
      <c r="E169" s="58"/>
      <c r="F169" s="55" t="s">
        <v>17</v>
      </c>
      <c r="G169" s="78">
        <v>13101000</v>
      </c>
      <c r="H169" s="54" t="s">
        <v>17</v>
      </c>
      <c r="I169" s="78"/>
      <c r="J169" s="52" t="s">
        <v>17</v>
      </c>
      <c r="K169" s="78"/>
      <c r="L169" s="52" t="s">
        <v>17</v>
      </c>
      <c r="M169" s="79"/>
      <c r="N169" s="70" t="s">
        <v>17</v>
      </c>
      <c r="O169" s="71">
        <f>I169-K169-M169</f>
        <v>0</v>
      </c>
      <c r="P169" s="27"/>
      <c r="Q169" s="27"/>
      <c r="R169" s="28"/>
      <c r="S169" s="28"/>
    </row>
    <row r="170" spans="1:19" s="29" customFormat="1" ht="15" customHeight="1" x14ac:dyDescent="0.15">
      <c r="A170" s="140"/>
      <c r="B170" s="148"/>
      <c r="C170" s="136"/>
      <c r="D170" s="59" t="s">
        <v>47</v>
      </c>
      <c r="E170" s="60"/>
      <c r="F170" s="56" t="s">
        <v>18</v>
      </c>
      <c r="G170" s="80">
        <v>13101000</v>
      </c>
      <c r="H170" s="56" t="s">
        <v>18</v>
      </c>
      <c r="I170" s="80"/>
      <c r="J170" s="53" t="s">
        <v>18</v>
      </c>
      <c r="K170" s="80"/>
      <c r="L170" s="53" t="s">
        <v>18</v>
      </c>
      <c r="M170" s="81"/>
      <c r="N170" s="72" t="s">
        <v>18</v>
      </c>
      <c r="O170" s="73">
        <f>I170-K170-M170</f>
        <v>0</v>
      </c>
      <c r="P170" s="27"/>
      <c r="Q170" s="27"/>
      <c r="R170" s="28"/>
      <c r="S170" s="28"/>
    </row>
    <row r="171" spans="1:19" s="29" customFormat="1" ht="15" customHeight="1" x14ac:dyDescent="0.15">
      <c r="A171" s="140" t="s">
        <v>12</v>
      </c>
      <c r="B171" s="147" t="s">
        <v>22</v>
      </c>
      <c r="C171" s="135"/>
      <c r="D171" s="61" t="s">
        <v>44</v>
      </c>
      <c r="E171" s="62"/>
      <c r="F171" s="63" t="s">
        <v>4</v>
      </c>
      <c r="G171" s="64">
        <f>SUM(G172:G174)</f>
        <v>4000000</v>
      </c>
      <c r="H171" s="83" t="s">
        <v>4</v>
      </c>
      <c r="I171" s="64">
        <f>SUM(I172:I174)</f>
        <v>0</v>
      </c>
      <c r="J171" s="82" t="s">
        <v>4</v>
      </c>
      <c r="K171" s="64">
        <f>SUM(K172:K174)</f>
        <v>0</v>
      </c>
      <c r="L171" s="82" t="s">
        <v>4</v>
      </c>
      <c r="M171" s="64">
        <f>SUM(M172:M174)</f>
        <v>0</v>
      </c>
      <c r="N171" s="82" t="s">
        <v>4</v>
      </c>
      <c r="O171" s="64">
        <f>SUM(O172:O174)</f>
        <v>0</v>
      </c>
      <c r="P171" s="27"/>
      <c r="Q171" s="27"/>
      <c r="R171" s="28"/>
      <c r="S171" s="28"/>
    </row>
    <row r="172" spans="1:19" s="29" customFormat="1" ht="15" customHeight="1" x14ac:dyDescent="0.15">
      <c r="A172" s="140"/>
      <c r="B172" s="148"/>
      <c r="C172" s="136"/>
      <c r="D172" s="57" t="s">
        <v>45</v>
      </c>
      <c r="E172" s="58"/>
      <c r="F172" s="54" t="s">
        <v>5</v>
      </c>
      <c r="G172" s="78">
        <v>3200000</v>
      </c>
      <c r="H172" s="54" t="s">
        <v>5</v>
      </c>
      <c r="I172" s="78"/>
      <c r="J172" s="52" t="s">
        <v>5</v>
      </c>
      <c r="K172" s="79"/>
      <c r="L172" s="52" t="s">
        <v>5</v>
      </c>
      <c r="M172" s="79"/>
      <c r="N172" s="70" t="s">
        <v>5</v>
      </c>
      <c r="O172" s="71">
        <f>I172-K172-M172</f>
        <v>0</v>
      </c>
      <c r="P172" s="27"/>
      <c r="Q172" s="27"/>
      <c r="R172" s="28"/>
      <c r="S172" s="28"/>
    </row>
    <row r="173" spans="1:19" s="29" customFormat="1" ht="15" customHeight="1" x14ac:dyDescent="0.15">
      <c r="A173" s="140" t="s">
        <v>67</v>
      </c>
      <c r="B173" s="148" t="s">
        <v>23</v>
      </c>
      <c r="C173" s="136"/>
      <c r="D173" s="57" t="s">
        <v>46</v>
      </c>
      <c r="E173" s="58"/>
      <c r="F173" s="55" t="s">
        <v>17</v>
      </c>
      <c r="G173" s="78">
        <v>400000</v>
      </c>
      <c r="H173" s="54" t="s">
        <v>17</v>
      </c>
      <c r="I173" s="78"/>
      <c r="J173" s="52" t="s">
        <v>17</v>
      </c>
      <c r="K173" s="78"/>
      <c r="L173" s="52" t="s">
        <v>17</v>
      </c>
      <c r="M173" s="79"/>
      <c r="N173" s="70" t="s">
        <v>17</v>
      </c>
      <c r="O173" s="71">
        <f>I173-K173-M173</f>
        <v>0</v>
      </c>
      <c r="P173" s="27"/>
      <c r="Q173" s="27"/>
      <c r="R173" s="28"/>
      <c r="S173" s="28"/>
    </row>
    <row r="174" spans="1:19" s="29" customFormat="1" ht="15" customHeight="1" x14ac:dyDescent="0.15">
      <c r="A174" s="140"/>
      <c r="B174" s="148"/>
      <c r="C174" s="136"/>
      <c r="D174" s="59" t="s">
        <v>47</v>
      </c>
      <c r="E174" s="60"/>
      <c r="F174" s="56" t="s">
        <v>18</v>
      </c>
      <c r="G174" s="80">
        <v>400000</v>
      </c>
      <c r="H174" s="56" t="s">
        <v>18</v>
      </c>
      <c r="I174" s="80"/>
      <c r="J174" s="53" t="s">
        <v>18</v>
      </c>
      <c r="K174" s="80"/>
      <c r="L174" s="53" t="s">
        <v>18</v>
      </c>
      <c r="M174" s="81"/>
      <c r="N174" s="72" t="s">
        <v>18</v>
      </c>
      <c r="O174" s="73">
        <f>I174-K174-M174</f>
        <v>0</v>
      </c>
      <c r="P174" s="27"/>
      <c r="Q174" s="27"/>
      <c r="R174" s="28"/>
      <c r="S174" s="28"/>
    </row>
    <row r="175" spans="1:19" s="29" customFormat="1" ht="15" customHeight="1" x14ac:dyDescent="0.15">
      <c r="A175" s="140" t="s">
        <v>12</v>
      </c>
      <c r="B175" s="139" t="s">
        <v>33</v>
      </c>
      <c r="C175" s="135"/>
      <c r="D175" s="61" t="s">
        <v>44</v>
      </c>
      <c r="E175" s="62"/>
      <c r="F175" s="63" t="s">
        <v>4</v>
      </c>
      <c r="G175" s="64">
        <f>SUM(G176:G178)</f>
        <v>10000000</v>
      </c>
      <c r="H175" s="83" t="s">
        <v>4</v>
      </c>
      <c r="I175" s="64">
        <f>SUM(I176:I178)</f>
        <v>0</v>
      </c>
      <c r="J175" s="82" t="s">
        <v>4</v>
      </c>
      <c r="K175" s="64">
        <f>SUM(K176:K178)</f>
        <v>0</v>
      </c>
      <c r="L175" s="82" t="s">
        <v>4</v>
      </c>
      <c r="M175" s="64">
        <f>SUM(M176:M178)</f>
        <v>0</v>
      </c>
      <c r="N175" s="82" t="s">
        <v>4</v>
      </c>
      <c r="O175" s="64">
        <f>SUM(O176:O178)</f>
        <v>0</v>
      </c>
      <c r="P175" s="27"/>
      <c r="Q175" s="27"/>
      <c r="R175" s="28"/>
      <c r="S175" s="28"/>
    </row>
    <row r="176" spans="1:19" s="29" customFormat="1" ht="15" customHeight="1" x14ac:dyDescent="0.15">
      <c r="A176" s="140"/>
      <c r="B176" s="134"/>
      <c r="C176" s="136"/>
      <c r="D176" s="57" t="s">
        <v>45</v>
      </c>
      <c r="E176" s="58"/>
      <c r="F176" s="54" t="s">
        <v>5</v>
      </c>
      <c r="G176" s="78">
        <v>8000000</v>
      </c>
      <c r="H176" s="54" t="s">
        <v>5</v>
      </c>
      <c r="I176" s="78"/>
      <c r="J176" s="52" t="s">
        <v>5</v>
      </c>
      <c r="K176" s="79"/>
      <c r="L176" s="52" t="s">
        <v>5</v>
      </c>
      <c r="M176" s="79"/>
      <c r="N176" s="70" t="s">
        <v>5</v>
      </c>
      <c r="O176" s="71">
        <f>I176-K176-M176</f>
        <v>0</v>
      </c>
      <c r="P176" s="27"/>
      <c r="Q176" s="27"/>
      <c r="R176" s="28"/>
      <c r="S176" s="28"/>
    </row>
    <row r="177" spans="1:19" s="29" customFormat="1" ht="15" customHeight="1" x14ac:dyDescent="0.15">
      <c r="A177" s="140" t="s">
        <v>67</v>
      </c>
      <c r="B177" s="134" t="s">
        <v>34</v>
      </c>
      <c r="C177" s="136"/>
      <c r="D177" s="57" t="s">
        <v>46</v>
      </c>
      <c r="E177" s="58"/>
      <c r="F177" s="55" t="s">
        <v>17</v>
      </c>
      <c r="G177" s="78">
        <v>1000000</v>
      </c>
      <c r="H177" s="54" t="s">
        <v>17</v>
      </c>
      <c r="I177" s="78"/>
      <c r="J177" s="52" t="s">
        <v>17</v>
      </c>
      <c r="K177" s="78"/>
      <c r="L177" s="52" t="s">
        <v>17</v>
      </c>
      <c r="M177" s="79"/>
      <c r="N177" s="70" t="s">
        <v>17</v>
      </c>
      <c r="O177" s="71">
        <f>I177-K177-M177</f>
        <v>0</v>
      </c>
      <c r="P177" s="27"/>
      <c r="Q177" s="27"/>
      <c r="R177" s="28"/>
      <c r="S177" s="28"/>
    </row>
    <row r="178" spans="1:19" s="29" customFormat="1" ht="15" customHeight="1" x14ac:dyDescent="0.15">
      <c r="A178" s="140"/>
      <c r="B178" s="138"/>
      <c r="C178" s="137"/>
      <c r="D178" s="59" t="s">
        <v>47</v>
      </c>
      <c r="E178" s="60"/>
      <c r="F178" s="56" t="s">
        <v>18</v>
      </c>
      <c r="G178" s="80">
        <v>1000000</v>
      </c>
      <c r="H178" s="56" t="s">
        <v>18</v>
      </c>
      <c r="I178" s="80"/>
      <c r="J178" s="53" t="s">
        <v>18</v>
      </c>
      <c r="K178" s="80"/>
      <c r="L178" s="53" t="s">
        <v>18</v>
      </c>
      <c r="M178" s="81"/>
      <c r="N178" s="72" t="s">
        <v>18</v>
      </c>
      <c r="O178" s="73">
        <f>I178-K178-M178</f>
        <v>0</v>
      </c>
      <c r="P178" s="27"/>
      <c r="Q178" s="27"/>
      <c r="R178" s="28"/>
      <c r="S178" s="28"/>
    </row>
    <row r="179" spans="1:19" s="29" customFormat="1" ht="15" customHeight="1" x14ac:dyDescent="0.15">
      <c r="A179" s="149" t="s">
        <v>12</v>
      </c>
      <c r="B179" s="134" t="s">
        <v>68</v>
      </c>
      <c r="C179" s="136"/>
      <c r="D179" s="61" t="s">
        <v>44</v>
      </c>
      <c r="E179" s="62"/>
      <c r="F179" s="63" t="s">
        <v>4</v>
      </c>
      <c r="G179" s="64">
        <f>SUM(G180:G182)</f>
        <v>2000000</v>
      </c>
      <c r="H179" s="83" t="s">
        <v>4</v>
      </c>
      <c r="I179" s="64">
        <f>SUM(I180:I182)</f>
        <v>0</v>
      </c>
      <c r="J179" s="82" t="s">
        <v>4</v>
      </c>
      <c r="K179" s="64">
        <f>SUM(K180:K182)</f>
        <v>0</v>
      </c>
      <c r="L179" s="82" t="s">
        <v>4</v>
      </c>
      <c r="M179" s="64">
        <f>SUM(M180:M182)</f>
        <v>0</v>
      </c>
      <c r="N179" s="82" t="s">
        <v>4</v>
      </c>
      <c r="O179" s="64">
        <f>SUM(O180:O182)</f>
        <v>0</v>
      </c>
      <c r="P179" s="27"/>
      <c r="Q179" s="27"/>
      <c r="R179" s="28"/>
      <c r="S179" s="28"/>
    </row>
    <row r="180" spans="1:19" s="29" customFormat="1" ht="15" customHeight="1" x14ac:dyDescent="0.15">
      <c r="A180" s="140"/>
      <c r="B180" s="148"/>
      <c r="C180" s="136"/>
      <c r="D180" s="57" t="s">
        <v>45</v>
      </c>
      <c r="E180" s="58"/>
      <c r="F180" s="54" t="s">
        <v>5</v>
      </c>
      <c r="G180" s="78">
        <v>1600000</v>
      </c>
      <c r="H180" s="54" t="s">
        <v>5</v>
      </c>
      <c r="I180" s="78"/>
      <c r="J180" s="52" t="s">
        <v>5</v>
      </c>
      <c r="K180" s="79"/>
      <c r="L180" s="52" t="s">
        <v>5</v>
      </c>
      <c r="M180" s="79"/>
      <c r="N180" s="70" t="s">
        <v>5</v>
      </c>
      <c r="O180" s="71">
        <f>I180-K180-M180</f>
        <v>0</v>
      </c>
      <c r="P180" s="27"/>
      <c r="Q180" s="27"/>
      <c r="R180" s="28"/>
      <c r="S180" s="28"/>
    </row>
    <row r="181" spans="1:19" s="29" customFormat="1" ht="15" customHeight="1" x14ac:dyDescent="0.15">
      <c r="A181" s="140" t="s">
        <v>67</v>
      </c>
      <c r="B181" s="148" t="s">
        <v>69</v>
      </c>
      <c r="C181" s="136"/>
      <c r="D181" s="57" t="s">
        <v>46</v>
      </c>
      <c r="E181" s="58"/>
      <c r="F181" s="55" t="s">
        <v>17</v>
      </c>
      <c r="G181" s="78">
        <v>200000</v>
      </c>
      <c r="H181" s="54" t="s">
        <v>17</v>
      </c>
      <c r="I181" s="78"/>
      <c r="J181" s="52" t="s">
        <v>17</v>
      </c>
      <c r="K181" s="78"/>
      <c r="L181" s="52" t="s">
        <v>17</v>
      </c>
      <c r="M181" s="79"/>
      <c r="N181" s="70" t="s">
        <v>17</v>
      </c>
      <c r="O181" s="71">
        <f>I181-K181-M181</f>
        <v>0</v>
      </c>
      <c r="P181" s="27"/>
      <c r="Q181" s="27"/>
      <c r="R181" s="28"/>
      <c r="S181" s="28"/>
    </row>
    <row r="182" spans="1:19" s="29" customFormat="1" ht="15" customHeight="1" x14ac:dyDescent="0.15">
      <c r="A182" s="140"/>
      <c r="B182" s="148"/>
      <c r="C182" s="136"/>
      <c r="D182" s="59" t="s">
        <v>47</v>
      </c>
      <c r="E182" s="60"/>
      <c r="F182" s="56" t="s">
        <v>18</v>
      </c>
      <c r="G182" s="80">
        <v>200000</v>
      </c>
      <c r="H182" s="56" t="s">
        <v>18</v>
      </c>
      <c r="I182" s="80"/>
      <c r="J182" s="53" t="s">
        <v>18</v>
      </c>
      <c r="K182" s="80"/>
      <c r="L182" s="53" t="s">
        <v>18</v>
      </c>
      <c r="M182" s="81"/>
      <c r="N182" s="72" t="s">
        <v>18</v>
      </c>
      <c r="O182" s="73">
        <f>I182-K182-M182</f>
        <v>0</v>
      </c>
      <c r="P182" s="27"/>
      <c r="Q182" s="27"/>
      <c r="R182" s="28"/>
      <c r="S182" s="28"/>
    </row>
    <row r="183" spans="1:19" s="29" customFormat="1" ht="15" customHeight="1" x14ac:dyDescent="0.15">
      <c r="A183" s="140" t="s">
        <v>12</v>
      </c>
      <c r="B183" s="147" t="s">
        <v>26</v>
      </c>
      <c r="C183" s="135"/>
      <c r="D183" s="61" t="s">
        <v>44</v>
      </c>
      <c r="E183" s="62"/>
      <c r="F183" s="63" t="s">
        <v>4</v>
      </c>
      <c r="G183" s="64">
        <f>SUM(G184:G186)</f>
        <v>2000000</v>
      </c>
      <c r="H183" s="83" t="s">
        <v>4</v>
      </c>
      <c r="I183" s="64">
        <f>SUM(I184:I186)</f>
        <v>0</v>
      </c>
      <c r="J183" s="82" t="s">
        <v>4</v>
      </c>
      <c r="K183" s="64">
        <f>SUM(K184:K186)</f>
        <v>0</v>
      </c>
      <c r="L183" s="82" t="s">
        <v>4</v>
      </c>
      <c r="M183" s="64">
        <f>SUM(M184:M186)</f>
        <v>0</v>
      </c>
      <c r="N183" s="82" t="s">
        <v>4</v>
      </c>
      <c r="O183" s="64">
        <f>SUM(O184:O186)</f>
        <v>0</v>
      </c>
      <c r="P183" s="27"/>
      <c r="Q183" s="27"/>
      <c r="R183" s="28"/>
      <c r="S183" s="28"/>
    </row>
    <row r="184" spans="1:19" s="29" customFormat="1" ht="15" customHeight="1" x14ac:dyDescent="0.15">
      <c r="A184" s="140"/>
      <c r="B184" s="148"/>
      <c r="C184" s="136"/>
      <c r="D184" s="57" t="s">
        <v>45</v>
      </c>
      <c r="E184" s="58"/>
      <c r="F184" s="54" t="s">
        <v>5</v>
      </c>
      <c r="G184" s="78">
        <v>1600000</v>
      </c>
      <c r="H184" s="54" t="s">
        <v>5</v>
      </c>
      <c r="I184" s="78"/>
      <c r="J184" s="52" t="s">
        <v>5</v>
      </c>
      <c r="K184" s="79"/>
      <c r="L184" s="52" t="s">
        <v>5</v>
      </c>
      <c r="M184" s="79"/>
      <c r="N184" s="70" t="s">
        <v>5</v>
      </c>
      <c r="O184" s="71">
        <f>I184-K184-M184</f>
        <v>0</v>
      </c>
      <c r="P184" s="27"/>
      <c r="Q184" s="27"/>
      <c r="R184" s="28"/>
      <c r="S184" s="28"/>
    </row>
    <row r="185" spans="1:19" s="29" customFormat="1" ht="15" customHeight="1" x14ac:dyDescent="0.15">
      <c r="A185" s="140" t="s">
        <v>67</v>
      </c>
      <c r="B185" s="148" t="s">
        <v>27</v>
      </c>
      <c r="C185" s="136"/>
      <c r="D185" s="57" t="s">
        <v>46</v>
      </c>
      <c r="E185" s="58"/>
      <c r="F185" s="55" t="s">
        <v>17</v>
      </c>
      <c r="G185" s="78">
        <v>200000</v>
      </c>
      <c r="H185" s="54" t="s">
        <v>17</v>
      </c>
      <c r="I185" s="78"/>
      <c r="J185" s="52" t="s">
        <v>17</v>
      </c>
      <c r="K185" s="78"/>
      <c r="L185" s="52" t="s">
        <v>17</v>
      </c>
      <c r="M185" s="79"/>
      <c r="N185" s="70" t="s">
        <v>17</v>
      </c>
      <c r="O185" s="71">
        <f>I185-K185-M185</f>
        <v>0</v>
      </c>
      <c r="P185" s="27"/>
      <c r="Q185" s="27"/>
      <c r="R185" s="28"/>
      <c r="S185" s="28"/>
    </row>
    <row r="186" spans="1:19" s="29" customFormat="1" ht="15" customHeight="1" x14ac:dyDescent="0.15">
      <c r="A186" s="140"/>
      <c r="B186" s="148"/>
      <c r="C186" s="136"/>
      <c r="D186" s="59" t="s">
        <v>47</v>
      </c>
      <c r="E186" s="60"/>
      <c r="F186" s="56" t="s">
        <v>18</v>
      </c>
      <c r="G186" s="80">
        <v>200000</v>
      </c>
      <c r="H186" s="56" t="s">
        <v>18</v>
      </c>
      <c r="I186" s="80"/>
      <c r="J186" s="53" t="s">
        <v>18</v>
      </c>
      <c r="K186" s="80"/>
      <c r="L186" s="53" t="s">
        <v>18</v>
      </c>
      <c r="M186" s="81"/>
      <c r="N186" s="72" t="s">
        <v>18</v>
      </c>
      <c r="O186" s="73">
        <f>I186-K186-M186</f>
        <v>0</v>
      </c>
      <c r="P186" s="27"/>
      <c r="Q186" s="27"/>
      <c r="R186" s="28"/>
      <c r="S186" s="28"/>
    </row>
    <row r="187" spans="1:19" s="29" customFormat="1" ht="15" customHeight="1" x14ac:dyDescent="0.15">
      <c r="A187" s="140" t="s">
        <v>12</v>
      </c>
      <c r="B187" s="147" t="s">
        <v>58</v>
      </c>
      <c r="C187" s="135"/>
      <c r="D187" s="61" t="s">
        <v>44</v>
      </c>
      <c r="E187" s="62"/>
      <c r="F187" s="63" t="s">
        <v>4</v>
      </c>
      <c r="G187" s="64">
        <f>SUM(G188:G190)</f>
        <v>52000000</v>
      </c>
      <c r="H187" s="83" t="s">
        <v>4</v>
      </c>
      <c r="I187" s="64">
        <f>SUM(I188:I190)</f>
        <v>0</v>
      </c>
      <c r="J187" s="82" t="s">
        <v>4</v>
      </c>
      <c r="K187" s="64">
        <f>SUM(K188:K190)</f>
        <v>0</v>
      </c>
      <c r="L187" s="82" t="s">
        <v>4</v>
      </c>
      <c r="M187" s="64">
        <f>SUM(M188:M190)</f>
        <v>0</v>
      </c>
      <c r="N187" s="82" t="s">
        <v>4</v>
      </c>
      <c r="O187" s="64">
        <f>SUM(O188:O190)</f>
        <v>0</v>
      </c>
      <c r="P187" s="27"/>
      <c r="Q187" s="27"/>
      <c r="R187" s="28"/>
      <c r="S187" s="28"/>
    </row>
    <row r="188" spans="1:19" s="29" customFormat="1" ht="15" customHeight="1" x14ac:dyDescent="0.15">
      <c r="A188" s="140"/>
      <c r="B188" s="148"/>
      <c r="C188" s="136"/>
      <c r="D188" s="57" t="s">
        <v>45</v>
      </c>
      <c r="E188" s="58"/>
      <c r="F188" s="54" t="s">
        <v>5</v>
      </c>
      <c r="G188" s="78">
        <v>41600000</v>
      </c>
      <c r="H188" s="54" t="s">
        <v>5</v>
      </c>
      <c r="I188" s="78"/>
      <c r="J188" s="52" t="s">
        <v>5</v>
      </c>
      <c r="K188" s="79"/>
      <c r="L188" s="52" t="s">
        <v>5</v>
      </c>
      <c r="M188" s="79"/>
      <c r="N188" s="70" t="s">
        <v>5</v>
      </c>
      <c r="O188" s="71">
        <f>I188-K188-M188</f>
        <v>0</v>
      </c>
      <c r="P188" s="27"/>
      <c r="Q188" s="27"/>
      <c r="R188" s="28"/>
      <c r="S188" s="28"/>
    </row>
    <row r="189" spans="1:19" s="29" customFormat="1" ht="15" customHeight="1" x14ac:dyDescent="0.15">
      <c r="A189" s="140" t="s">
        <v>67</v>
      </c>
      <c r="B189" s="148" t="s">
        <v>59</v>
      </c>
      <c r="C189" s="136"/>
      <c r="D189" s="57" t="s">
        <v>46</v>
      </c>
      <c r="E189" s="58"/>
      <c r="F189" s="55" t="s">
        <v>17</v>
      </c>
      <c r="G189" s="78">
        <v>5200000</v>
      </c>
      <c r="H189" s="54" t="s">
        <v>17</v>
      </c>
      <c r="I189" s="78"/>
      <c r="J189" s="52" t="s">
        <v>17</v>
      </c>
      <c r="K189" s="78"/>
      <c r="L189" s="52" t="s">
        <v>17</v>
      </c>
      <c r="M189" s="79"/>
      <c r="N189" s="70" t="s">
        <v>17</v>
      </c>
      <c r="O189" s="71">
        <f>I189-K189-M189</f>
        <v>0</v>
      </c>
      <c r="P189" s="27"/>
      <c r="Q189" s="27"/>
      <c r="R189" s="28"/>
      <c r="S189" s="28"/>
    </row>
    <row r="190" spans="1:19" s="29" customFormat="1" ht="15" customHeight="1" x14ac:dyDescent="0.15">
      <c r="A190" s="140"/>
      <c r="B190" s="148"/>
      <c r="C190" s="136"/>
      <c r="D190" s="59" t="s">
        <v>47</v>
      </c>
      <c r="E190" s="60"/>
      <c r="F190" s="56" t="s">
        <v>18</v>
      </c>
      <c r="G190" s="80">
        <v>5200000</v>
      </c>
      <c r="H190" s="56" t="s">
        <v>18</v>
      </c>
      <c r="I190" s="80"/>
      <c r="J190" s="53" t="s">
        <v>18</v>
      </c>
      <c r="K190" s="80"/>
      <c r="L190" s="53" t="s">
        <v>18</v>
      </c>
      <c r="M190" s="81"/>
      <c r="N190" s="72" t="s">
        <v>18</v>
      </c>
      <c r="O190" s="73">
        <f>I190-K190-M190</f>
        <v>0</v>
      </c>
      <c r="P190" s="27"/>
      <c r="Q190" s="27"/>
      <c r="R190" s="28"/>
      <c r="S190" s="28"/>
    </row>
    <row r="191" spans="1:19" s="29" customFormat="1" ht="15" customHeight="1" x14ac:dyDescent="0.15">
      <c r="A191" s="140" t="s">
        <v>12</v>
      </c>
      <c r="B191" s="147" t="s">
        <v>90</v>
      </c>
      <c r="C191" s="135"/>
      <c r="D191" s="61" t="s">
        <v>16</v>
      </c>
      <c r="E191" s="62"/>
      <c r="F191" s="63" t="s">
        <v>4</v>
      </c>
      <c r="G191" s="64">
        <f>SUM(G192:G194)</f>
        <v>4450000</v>
      </c>
      <c r="H191" s="83" t="s">
        <v>4</v>
      </c>
      <c r="I191" s="64">
        <f>SUM(I192:I194)</f>
        <v>0</v>
      </c>
      <c r="J191" s="82" t="s">
        <v>4</v>
      </c>
      <c r="K191" s="64">
        <f>SUM(K192:K194)</f>
        <v>0</v>
      </c>
      <c r="L191" s="82" t="s">
        <v>4</v>
      </c>
      <c r="M191" s="64">
        <f>SUM(M192:M194)</f>
        <v>0</v>
      </c>
      <c r="N191" s="82" t="s">
        <v>4</v>
      </c>
      <c r="O191" s="64">
        <f>SUM(O192:O194)</f>
        <v>0</v>
      </c>
      <c r="P191" s="27"/>
      <c r="Q191" s="27"/>
      <c r="R191" s="28"/>
      <c r="S191" s="28"/>
    </row>
    <row r="192" spans="1:19" s="29" customFormat="1" ht="15" customHeight="1" x14ac:dyDescent="0.15">
      <c r="A192" s="140"/>
      <c r="B192" s="148"/>
      <c r="C192" s="136"/>
      <c r="D192" s="57" t="s">
        <v>45</v>
      </c>
      <c r="E192" s="58"/>
      <c r="F192" s="54" t="s">
        <v>5</v>
      </c>
      <c r="G192" s="78">
        <v>4450000</v>
      </c>
      <c r="H192" s="54" t="s">
        <v>5</v>
      </c>
      <c r="I192" s="78"/>
      <c r="J192" s="52" t="s">
        <v>5</v>
      </c>
      <c r="K192" s="79"/>
      <c r="L192" s="52" t="s">
        <v>5</v>
      </c>
      <c r="M192" s="79"/>
      <c r="N192" s="70" t="s">
        <v>5</v>
      </c>
      <c r="O192" s="71">
        <f>I192-K192-M192</f>
        <v>0</v>
      </c>
      <c r="P192" s="27"/>
      <c r="Q192" s="27"/>
      <c r="R192" s="28"/>
      <c r="S192" s="28"/>
    </row>
    <row r="193" spans="1:19" s="29" customFormat="1" ht="15" customHeight="1" x14ac:dyDescent="0.15">
      <c r="A193" s="140" t="s">
        <v>67</v>
      </c>
      <c r="B193" s="148" t="s">
        <v>91</v>
      </c>
      <c r="C193" s="136"/>
      <c r="D193" s="57" t="s">
        <v>15</v>
      </c>
      <c r="E193" s="58"/>
      <c r="F193" s="55" t="s">
        <v>17</v>
      </c>
      <c r="G193" s="78"/>
      <c r="H193" s="54" t="s">
        <v>17</v>
      </c>
      <c r="I193" s="78"/>
      <c r="J193" s="52" t="s">
        <v>17</v>
      </c>
      <c r="K193" s="78"/>
      <c r="L193" s="52" t="s">
        <v>17</v>
      </c>
      <c r="M193" s="79"/>
      <c r="N193" s="70" t="s">
        <v>17</v>
      </c>
      <c r="O193" s="71">
        <f>I193-K193-M193</f>
        <v>0</v>
      </c>
      <c r="P193" s="27"/>
      <c r="Q193" s="27"/>
      <c r="R193" s="28"/>
      <c r="S193" s="28"/>
    </row>
    <row r="194" spans="1:19" s="29" customFormat="1" ht="15" customHeight="1" x14ac:dyDescent="0.15">
      <c r="A194" s="140"/>
      <c r="B194" s="148"/>
      <c r="C194" s="136"/>
      <c r="D194" s="59" t="s">
        <v>47</v>
      </c>
      <c r="E194" s="60"/>
      <c r="F194" s="56" t="s">
        <v>18</v>
      </c>
      <c r="G194" s="80"/>
      <c r="H194" s="56" t="s">
        <v>18</v>
      </c>
      <c r="I194" s="80"/>
      <c r="J194" s="53" t="s">
        <v>18</v>
      </c>
      <c r="K194" s="80"/>
      <c r="L194" s="53" t="s">
        <v>18</v>
      </c>
      <c r="M194" s="81"/>
      <c r="N194" s="72" t="s">
        <v>18</v>
      </c>
      <c r="O194" s="73">
        <f>I194-K194-M194</f>
        <v>0</v>
      </c>
      <c r="P194" s="27"/>
      <c r="Q194" s="27"/>
      <c r="R194" s="28"/>
      <c r="S194" s="28"/>
    </row>
    <row r="195" spans="1:19" s="29" customFormat="1" ht="15" customHeight="1" x14ac:dyDescent="0.15">
      <c r="A195" s="150" t="s">
        <v>12</v>
      </c>
      <c r="B195" s="154" t="s">
        <v>31</v>
      </c>
      <c r="C195" s="135"/>
      <c r="D195" s="61" t="s">
        <v>44</v>
      </c>
      <c r="E195" s="62"/>
      <c r="F195" s="63" t="s">
        <v>4</v>
      </c>
      <c r="G195" s="64">
        <f>SUM(G196:G198)</f>
        <v>219932000</v>
      </c>
      <c r="H195" s="83" t="s">
        <v>4</v>
      </c>
      <c r="I195" s="64">
        <f>SUM(I196:I198)</f>
        <v>219932000</v>
      </c>
      <c r="J195" s="82" t="s">
        <v>4</v>
      </c>
      <c r="K195" s="64">
        <f>SUM(K196:K198)</f>
        <v>206555670</v>
      </c>
      <c r="L195" s="82" t="s">
        <v>4</v>
      </c>
      <c r="M195" s="64">
        <f>SUM(M196:M198)</f>
        <v>0</v>
      </c>
      <c r="N195" s="82" t="s">
        <v>4</v>
      </c>
      <c r="O195" s="64">
        <f>SUM(O196:O198)</f>
        <v>13376330</v>
      </c>
      <c r="P195" s="27"/>
      <c r="Q195" s="27"/>
      <c r="R195" s="28"/>
      <c r="S195" s="28"/>
    </row>
    <row r="196" spans="1:19" s="29" customFormat="1" ht="15" customHeight="1" x14ac:dyDescent="0.15">
      <c r="A196" s="149"/>
      <c r="B196" s="152"/>
      <c r="C196" s="136"/>
      <c r="D196" s="57" t="s">
        <v>45</v>
      </c>
      <c r="E196" s="58"/>
      <c r="F196" s="54" t="s">
        <v>5</v>
      </c>
      <c r="G196" s="78">
        <v>108521000</v>
      </c>
      <c r="H196" s="54" t="s">
        <v>5</v>
      </c>
      <c r="I196" s="78">
        <v>108521000</v>
      </c>
      <c r="J196" s="52" t="s">
        <v>5</v>
      </c>
      <c r="K196" s="78">
        <v>101878340</v>
      </c>
      <c r="L196" s="52" t="s">
        <v>5</v>
      </c>
      <c r="M196" s="79">
        <v>0</v>
      </c>
      <c r="N196" s="70" t="s">
        <v>5</v>
      </c>
      <c r="O196" s="71">
        <f>I196-K196-M196</f>
        <v>6642660</v>
      </c>
      <c r="P196" s="27"/>
      <c r="Q196" s="27"/>
      <c r="R196" s="28"/>
      <c r="S196" s="28"/>
    </row>
    <row r="197" spans="1:19" s="29" customFormat="1" ht="15" customHeight="1" x14ac:dyDescent="0.15">
      <c r="A197" s="150" t="s">
        <v>122</v>
      </c>
      <c r="B197" s="152" t="s">
        <v>32</v>
      </c>
      <c r="C197" s="136"/>
      <c r="D197" s="57" t="s">
        <v>46</v>
      </c>
      <c r="E197" s="58"/>
      <c r="F197" s="55" t="s">
        <v>17</v>
      </c>
      <c r="G197" s="18">
        <v>108521000</v>
      </c>
      <c r="H197" s="54" t="s">
        <v>17</v>
      </c>
      <c r="I197" s="18">
        <v>108521000</v>
      </c>
      <c r="J197" s="52" t="s">
        <v>17</v>
      </c>
      <c r="K197" s="18">
        <v>101878330</v>
      </c>
      <c r="L197" s="52" t="s">
        <v>17</v>
      </c>
      <c r="M197" s="79">
        <v>0</v>
      </c>
      <c r="N197" s="70" t="s">
        <v>17</v>
      </c>
      <c r="O197" s="71">
        <f>I197-K197-M197</f>
        <v>6642670</v>
      </c>
      <c r="P197" s="27"/>
      <c r="Q197" s="27"/>
      <c r="R197" s="28"/>
      <c r="S197" s="28"/>
    </row>
    <row r="198" spans="1:19" s="29" customFormat="1" ht="15" customHeight="1" x14ac:dyDescent="0.15">
      <c r="A198" s="149"/>
      <c r="B198" s="153"/>
      <c r="C198" s="137"/>
      <c r="D198" s="59" t="s">
        <v>47</v>
      </c>
      <c r="E198" s="60"/>
      <c r="F198" s="56" t="s">
        <v>18</v>
      </c>
      <c r="G198" s="80">
        <v>2890000</v>
      </c>
      <c r="H198" s="56" t="s">
        <v>18</v>
      </c>
      <c r="I198" s="80">
        <v>2890000</v>
      </c>
      <c r="J198" s="53" t="s">
        <v>18</v>
      </c>
      <c r="K198" s="81">
        <v>2799000</v>
      </c>
      <c r="L198" s="53" t="s">
        <v>18</v>
      </c>
      <c r="M198" s="81">
        <v>0</v>
      </c>
      <c r="N198" s="72" t="s">
        <v>18</v>
      </c>
      <c r="O198" s="73">
        <f>I198-K198-M198</f>
        <v>91000</v>
      </c>
      <c r="P198" s="27"/>
      <c r="Q198" s="27"/>
      <c r="R198" s="28"/>
      <c r="S198" s="28"/>
    </row>
    <row r="199" spans="1:19" s="29" customFormat="1" ht="15" customHeight="1" x14ac:dyDescent="0.15">
      <c r="A199" s="166" t="s">
        <v>12</v>
      </c>
      <c r="B199" s="154" t="s">
        <v>53</v>
      </c>
      <c r="C199" s="135"/>
      <c r="D199" s="61" t="s">
        <v>44</v>
      </c>
      <c r="E199" s="62"/>
      <c r="F199" s="103" t="s">
        <v>4</v>
      </c>
      <c r="G199" s="104">
        <f>SUM(G200:G202)</f>
        <v>1293413000</v>
      </c>
      <c r="H199" s="105" t="s">
        <v>4</v>
      </c>
      <c r="I199" s="104"/>
      <c r="J199" s="106" t="s">
        <v>4</v>
      </c>
      <c r="K199" s="104"/>
      <c r="L199" s="106" t="s">
        <v>4</v>
      </c>
      <c r="M199" s="104">
        <f>SUM(M200:M202)</f>
        <v>0</v>
      </c>
      <c r="N199" s="106" t="s">
        <v>4</v>
      </c>
      <c r="O199" s="104">
        <f>SUM(O200:O202)</f>
        <v>0</v>
      </c>
      <c r="P199" s="27"/>
      <c r="Q199" s="27"/>
      <c r="R199" s="28"/>
      <c r="S199" s="28"/>
    </row>
    <row r="200" spans="1:19" s="29" customFormat="1" ht="15" customHeight="1" x14ac:dyDescent="0.15">
      <c r="A200" s="159"/>
      <c r="B200" s="152"/>
      <c r="C200" s="136"/>
      <c r="D200" s="57" t="s">
        <v>45</v>
      </c>
      <c r="E200" s="58"/>
      <c r="F200" s="120" t="s">
        <v>5</v>
      </c>
      <c r="G200" s="121"/>
      <c r="H200" s="120" t="s">
        <v>5</v>
      </c>
      <c r="I200" s="121"/>
      <c r="J200" s="122" t="s">
        <v>5</v>
      </c>
      <c r="K200" s="123"/>
      <c r="L200" s="122" t="s">
        <v>5</v>
      </c>
      <c r="M200" s="123"/>
      <c r="N200" s="111" t="s">
        <v>5</v>
      </c>
      <c r="O200" s="112">
        <f>I200-K200-M200</f>
        <v>0</v>
      </c>
      <c r="P200" s="27"/>
      <c r="Q200" s="27"/>
      <c r="R200" s="28"/>
      <c r="S200" s="28"/>
    </row>
    <row r="201" spans="1:19" s="29" customFormat="1" ht="15" customHeight="1" x14ac:dyDescent="0.15">
      <c r="A201" s="166" t="s">
        <v>70</v>
      </c>
      <c r="B201" s="152" t="s">
        <v>55</v>
      </c>
      <c r="C201" s="136"/>
      <c r="D201" s="57" t="s">
        <v>46</v>
      </c>
      <c r="E201" s="58"/>
      <c r="F201" s="124" t="s">
        <v>17</v>
      </c>
      <c r="G201" s="121">
        <v>970060000</v>
      </c>
      <c r="H201" s="120" t="s">
        <v>17</v>
      </c>
      <c r="I201" s="121"/>
      <c r="J201" s="122" t="s">
        <v>17</v>
      </c>
      <c r="K201" s="123"/>
      <c r="L201" s="122" t="s">
        <v>17</v>
      </c>
      <c r="M201" s="123"/>
      <c r="N201" s="111" t="s">
        <v>17</v>
      </c>
      <c r="O201" s="112">
        <f>I201-K201-M201</f>
        <v>0</v>
      </c>
      <c r="P201" s="27"/>
      <c r="Q201" s="27"/>
      <c r="R201" s="28"/>
      <c r="S201" s="28"/>
    </row>
    <row r="202" spans="1:19" s="29" customFormat="1" ht="15" customHeight="1" x14ac:dyDescent="0.15">
      <c r="A202" s="159"/>
      <c r="B202" s="153"/>
      <c r="C202" s="137"/>
      <c r="D202" s="59" t="s">
        <v>47</v>
      </c>
      <c r="E202" s="60"/>
      <c r="F202" s="125" t="s">
        <v>18</v>
      </c>
      <c r="G202" s="126">
        <v>323353000</v>
      </c>
      <c r="H202" s="125" t="s">
        <v>18</v>
      </c>
      <c r="I202" s="126"/>
      <c r="J202" s="127" t="s">
        <v>18</v>
      </c>
      <c r="K202" s="128"/>
      <c r="L202" s="127" t="s">
        <v>18</v>
      </c>
      <c r="M202" s="128"/>
      <c r="N202" s="118" t="s">
        <v>18</v>
      </c>
      <c r="O202" s="119">
        <f>I202-K202-M202</f>
        <v>0</v>
      </c>
      <c r="P202" s="27"/>
      <c r="Q202" s="27"/>
      <c r="R202" s="28"/>
      <c r="S202" s="28"/>
    </row>
    <row r="203" spans="1:19" s="29" customFormat="1" ht="15" customHeight="1" x14ac:dyDescent="0.15">
      <c r="A203" s="166" t="s">
        <v>12</v>
      </c>
      <c r="B203" s="154" t="s">
        <v>53</v>
      </c>
      <c r="C203" s="135"/>
      <c r="D203" s="61" t="s">
        <v>44</v>
      </c>
      <c r="E203" s="62"/>
      <c r="F203" s="103" t="s">
        <v>4</v>
      </c>
      <c r="G203" s="104">
        <f>SUM(G204:G206)</f>
        <v>562147000</v>
      </c>
      <c r="H203" s="105" t="s">
        <v>4</v>
      </c>
      <c r="I203" s="104"/>
      <c r="J203" s="106" t="s">
        <v>4</v>
      </c>
      <c r="K203" s="104"/>
      <c r="L203" s="106" t="s">
        <v>4</v>
      </c>
      <c r="M203" s="104">
        <f>SUM(M204:M206)</f>
        <v>0</v>
      </c>
      <c r="N203" s="106" t="s">
        <v>4</v>
      </c>
      <c r="O203" s="104">
        <f>SUM(O204:O206)</f>
        <v>0</v>
      </c>
      <c r="P203" s="27"/>
      <c r="Q203" s="27"/>
      <c r="R203" s="28"/>
      <c r="S203" s="28"/>
    </row>
    <row r="204" spans="1:19" s="29" customFormat="1" ht="15" customHeight="1" x14ac:dyDescent="0.15">
      <c r="A204" s="159"/>
      <c r="B204" s="152"/>
      <c r="C204" s="136"/>
      <c r="D204" s="57" t="s">
        <v>45</v>
      </c>
      <c r="E204" s="58"/>
      <c r="F204" s="120" t="s">
        <v>5</v>
      </c>
      <c r="G204" s="121"/>
      <c r="H204" s="120" t="s">
        <v>5</v>
      </c>
      <c r="I204" s="121"/>
      <c r="J204" s="122" t="s">
        <v>5</v>
      </c>
      <c r="K204" s="123"/>
      <c r="L204" s="122" t="s">
        <v>5</v>
      </c>
      <c r="M204" s="123"/>
      <c r="N204" s="111" t="s">
        <v>5</v>
      </c>
      <c r="O204" s="112">
        <f>I204-K204-M204</f>
        <v>0</v>
      </c>
      <c r="P204" s="27"/>
      <c r="Q204" s="27"/>
      <c r="R204" s="28"/>
      <c r="S204" s="28"/>
    </row>
    <row r="205" spans="1:19" s="29" customFormat="1" ht="15" customHeight="1" x14ac:dyDescent="0.15">
      <c r="A205" s="166" t="s">
        <v>71</v>
      </c>
      <c r="B205" s="152" t="s">
        <v>55</v>
      </c>
      <c r="C205" s="136"/>
      <c r="D205" s="57" t="s">
        <v>46</v>
      </c>
      <c r="E205" s="58"/>
      <c r="F205" s="124" t="s">
        <v>17</v>
      </c>
      <c r="G205" s="121">
        <v>562147000</v>
      </c>
      <c r="H205" s="120" t="s">
        <v>17</v>
      </c>
      <c r="I205" s="121"/>
      <c r="J205" s="122" t="s">
        <v>17</v>
      </c>
      <c r="K205" s="123"/>
      <c r="L205" s="122" t="s">
        <v>17</v>
      </c>
      <c r="M205" s="123"/>
      <c r="N205" s="111" t="s">
        <v>17</v>
      </c>
      <c r="O205" s="112">
        <f>I205-K205-M205</f>
        <v>0</v>
      </c>
      <c r="P205" s="27"/>
      <c r="Q205" s="27"/>
      <c r="R205" s="28"/>
      <c r="S205" s="28"/>
    </row>
    <row r="206" spans="1:19" s="29" customFormat="1" ht="15" customHeight="1" x14ac:dyDescent="0.15">
      <c r="A206" s="159"/>
      <c r="B206" s="153"/>
      <c r="C206" s="137"/>
      <c r="D206" s="59" t="s">
        <v>47</v>
      </c>
      <c r="E206" s="60"/>
      <c r="F206" s="125" t="s">
        <v>18</v>
      </c>
      <c r="G206" s="126"/>
      <c r="H206" s="125" t="s">
        <v>18</v>
      </c>
      <c r="I206" s="126"/>
      <c r="J206" s="127" t="s">
        <v>18</v>
      </c>
      <c r="K206" s="128"/>
      <c r="L206" s="127" t="s">
        <v>18</v>
      </c>
      <c r="M206" s="128"/>
      <c r="N206" s="118" t="s">
        <v>18</v>
      </c>
      <c r="O206" s="119">
        <f>I206-K206-M206</f>
        <v>0</v>
      </c>
      <c r="P206" s="27"/>
      <c r="Q206" s="27"/>
      <c r="R206" s="28"/>
      <c r="S206" s="28"/>
    </row>
    <row r="207" spans="1:19" s="29" customFormat="1" ht="15" customHeight="1" x14ac:dyDescent="0.15">
      <c r="A207" s="132" t="s">
        <v>12</v>
      </c>
      <c r="B207" s="147" t="s">
        <v>53</v>
      </c>
      <c r="C207" s="135"/>
      <c r="D207" s="61" t="s">
        <v>44</v>
      </c>
      <c r="E207" s="62"/>
      <c r="F207" s="103" t="s">
        <v>4</v>
      </c>
      <c r="G207" s="104">
        <f>SUM(G208:G210)</f>
        <v>151680000</v>
      </c>
      <c r="H207" s="105" t="s">
        <v>4</v>
      </c>
      <c r="I207" s="104"/>
      <c r="J207" s="106" t="s">
        <v>4</v>
      </c>
      <c r="K207" s="104"/>
      <c r="L207" s="106" t="s">
        <v>4</v>
      </c>
      <c r="M207" s="104">
        <f>SUM(M208:M210)</f>
        <v>0</v>
      </c>
      <c r="N207" s="106" t="s">
        <v>4</v>
      </c>
      <c r="O207" s="104">
        <f>SUM(O208:O210)</f>
        <v>0</v>
      </c>
      <c r="P207" s="27"/>
      <c r="Q207" s="27"/>
      <c r="R207" s="28"/>
      <c r="S207" s="28"/>
    </row>
    <row r="208" spans="1:19" s="29" customFormat="1" ht="15" customHeight="1" x14ac:dyDescent="0.15">
      <c r="A208" s="132"/>
      <c r="B208" s="148"/>
      <c r="C208" s="136"/>
      <c r="D208" s="57" t="s">
        <v>45</v>
      </c>
      <c r="E208" s="58"/>
      <c r="F208" s="120" t="s">
        <v>5</v>
      </c>
      <c r="G208" s="121"/>
      <c r="H208" s="120" t="s">
        <v>5</v>
      </c>
      <c r="I208" s="121"/>
      <c r="J208" s="122" t="s">
        <v>5</v>
      </c>
      <c r="K208" s="123"/>
      <c r="L208" s="122" t="s">
        <v>5</v>
      </c>
      <c r="M208" s="123"/>
      <c r="N208" s="111" t="s">
        <v>5</v>
      </c>
      <c r="O208" s="112">
        <f>I208-K208-M208</f>
        <v>0</v>
      </c>
      <c r="P208" s="27"/>
      <c r="Q208" s="27"/>
      <c r="R208" s="28"/>
      <c r="S208" s="28"/>
    </row>
    <row r="209" spans="1:19" s="29" customFormat="1" ht="15" customHeight="1" x14ac:dyDescent="0.15">
      <c r="A209" s="132" t="s">
        <v>123</v>
      </c>
      <c r="B209" s="148" t="s">
        <v>55</v>
      </c>
      <c r="C209" s="136"/>
      <c r="D209" s="57" t="s">
        <v>46</v>
      </c>
      <c r="E209" s="58"/>
      <c r="F209" s="124" t="s">
        <v>17</v>
      </c>
      <c r="G209" s="121">
        <v>151680000</v>
      </c>
      <c r="H209" s="120" t="s">
        <v>17</v>
      </c>
      <c r="I209" s="121"/>
      <c r="J209" s="122" t="s">
        <v>17</v>
      </c>
      <c r="K209" s="123"/>
      <c r="L209" s="122" t="s">
        <v>17</v>
      </c>
      <c r="M209" s="123"/>
      <c r="N209" s="111" t="s">
        <v>17</v>
      </c>
      <c r="O209" s="112">
        <f>I209-K209-M209</f>
        <v>0</v>
      </c>
      <c r="P209" s="27"/>
      <c r="Q209" s="27"/>
      <c r="R209" s="28"/>
      <c r="S209" s="28"/>
    </row>
    <row r="210" spans="1:19" s="29" customFormat="1" ht="15" customHeight="1" x14ac:dyDescent="0.15">
      <c r="A210" s="166"/>
      <c r="B210" s="148"/>
      <c r="C210" s="136"/>
      <c r="D210" s="59" t="s">
        <v>47</v>
      </c>
      <c r="E210" s="60"/>
      <c r="F210" s="125" t="s">
        <v>18</v>
      </c>
      <c r="G210" s="126"/>
      <c r="H210" s="125" t="s">
        <v>18</v>
      </c>
      <c r="I210" s="126"/>
      <c r="J210" s="127" t="s">
        <v>18</v>
      </c>
      <c r="K210" s="128"/>
      <c r="L210" s="127" t="s">
        <v>18</v>
      </c>
      <c r="M210" s="128"/>
      <c r="N210" s="118" t="s">
        <v>18</v>
      </c>
      <c r="O210" s="119">
        <f>I210-K210-M210</f>
        <v>0</v>
      </c>
      <c r="P210" s="27"/>
      <c r="Q210" s="27"/>
      <c r="R210" s="28"/>
      <c r="S210" s="28"/>
    </row>
    <row r="211" spans="1:19" s="29" customFormat="1" ht="15" customHeight="1" x14ac:dyDescent="0.15">
      <c r="A211" s="132" t="s">
        <v>12</v>
      </c>
      <c r="B211" s="147" t="s">
        <v>8</v>
      </c>
      <c r="C211" s="135"/>
      <c r="D211" s="61" t="s">
        <v>44</v>
      </c>
      <c r="E211" s="62"/>
      <c r="F211" s="103" t="s">
        <v>4</v>
      </c>
      <c r="G211" s="104">
        <f>SUM(G212:G214)</f>
        <v>28000000</v>
      </c>
      <c r="H211" s="105" t="s">
        <v>4</v>
      </c>
      <c r="I211" s="104"/>
      <c r="J211" s="106" t="s">
        <v>4</v>
      </c>
      <c r="K211" s="104"/>
      <c r="L211" s="106" t="s">
        <v>4</v>
      </c>
      <c r="M211" s="104">
        <f>SUM(M212:M214)</f>
        <v>0</v>
      </c>
      <c r="N211" s="106" t="s">
        <v>4</v>
      </c>
      <c r="O211" s="104">
        <f>SUM(O212:O214)</f>
        <v>0</v>
      </c>
      <c r="P211" s="27"/>
      <c r="Q211" s="27"/>
      <c r="R211" s="28"/>
      <c r="S211" s="28"/>
    </row>
    <row r="212" spans="1:19" s="29" customFormat="1" ht="15" customHeight="1" x14ac:dyDescent="0.15">
      <c r="A212" s="132"/>
      <c r="B212" s="148"/>
      <c r="C212" s="136"/>
      <c r="D212" s="57" t="s">
        <v>45</v>
      </c>
      <c r="E212" s="58"/>
      <c r="F212" s="120" t="s">
        <v>5</v>
      </c>
      <c r="G212" s="121"/>
      <c r="H212" s="120" t="s">
        <v>5</v>
      </c>
      <c r="I212" s="121"/>
      <c r="J212" s="122" t="s">
        <v>5</v>
      </c>
      <c r="K212" s="123"/>
      <c r="L212" s="122" t="s">
        <v>5</v>
      </c>
      <c r="M212" s="123"/>
      <c r="N212" s="111" t="s">
        <v>5</v>
      </c>
      <c r="O212" s="112">
        <f>I212-K212-M212</f>
        <v>0</v>
      </c>
      <c r="P212" s="27"/>
      <c r="Q212" s="27"/>
      <c r="R212" s="28"/>
      <c r="S212" s="28"/>
    </row>
    <row r="213" spans="1:19" s="29" customFormat="1" ht="15" customHeight="1" x14ac:dyDescent="0.15">
      <c r="A213" s="132" t="s">
        <v>124</v>
      </c>
      <c r="B213" s="148" t="s">
        <v>9</v>
      </c>
      <c r="C213" s="136"/>
      <c r="D213" s="57" t="s">
        <v>46</v>
      </c>
      <c r="E213" s="58"/>
      <c r="F213" s="124" t="s">
        <v>17</v>
      </c>
      <c r="G213" s="121">
        <v>28000000</v>
      </c>
      <c r="H213" s="120" t="s">
        <v>17</v>
      </c>
      <c r="I213" s="121"/>
      <c r="J213" s="122" t="s">
        <v>17</v>
      </c>
      <c r="K213" s="123"/>
      <c r="L213" s="122" t="s">
        <v>17</v>
      </c>
      <c r="M213" s="123"/>
      <c r="N213" s="111" t="s">
        <v>17</v>
      </c>
      <c r="O213" s="112">
        <f>I213-K213-M213</f>
        <v>0</v>
      </c>
      <c r="P213" s="27"/>
      <c r="Q213" s="27"/>
      <c r="R213" s="28"/>
      <c r="S213" s="28"/>
    </row>
    <row r="214" spans="1:19" s="29" customFormat="1" ht="15" customHeight="1" x14ac:dyDescent="0.15">
      <c r="A214" s="166"/>
      <c r="B214" s="148"/>
      <c r="C214" s="136"/>
      <c r="D214" s="59" t="s">
        <v>47</v>
      </c>
      <c r="E214" s="60"/>
      <c r="F214" s="125" t="s">
        <v>18</v>
      </c>
      <c r="G214" s="126"/>
      <c r="H214" s="125" t="s">
        <v>18</v>
      </c>
      <c r="I214" s="126"/>
      <c r="J214" s="127" t="s">
        <v>18</v>
      </c>
      <c r="K214" s="128"/>
      <c r="L214" s="127" t="s">
        <v>18</v>
      </c>
      <c r="M214" s="128"/>
      <c r="N214" s="118" t="s">
        <v>18</v>
      </c>
      <c r="O214" s="119">
        <f>I214-K214-M214</f>
        <v>0</v>
      </c>
      <c r="P214" s="27"/>
      <c r="Q214" s="27"/>
      <c r="R214" s="28"/>
      <c r="S214" s="28"/>
    </row>
    <row r="215" spans="1:19" s="29" customFormat="1" ht="15" customHeight="1" x14ac:dyDescent="0.15">
      <c r="A215" s="132" t="s">
        <v>12</v>
      </c>
      <c r="B215" s="139" t="s">
        <v>8</v>
      </c>
      <c r="C215" s="135"/>
      <c r="D215" s="61" t="s">
        <v>44</v>
      </c>
      <c r="E215" s="62"/>
      <c r="F215" s="103" t="s">
        <v>4</v>
      </c>
      <c r="G215" s="104">
        <f>SUM(G216:G218)</f>
        <v>85000000</v>
      </c>
      <c r="H215" s="105" t="s">
        <v>4</v>
      </c>
      <c r="I215" s="104"/>
      <c r="J215" s="106" t="s">
        <v>4</v>
      </c>
      <c r="K215" s="104"/>
      <c r="L215" s="106" t="s">
        <v>4</v>
      </c>
      <c r="M215" s="104">
        <f>SUM(M216:M218)</f>
        <v>0</v>
      </c>
      <c r="N215" s="106" t="s">
        <v>4</v>
      </c>
      <c r="O215" s="104">
        <f>SUM(O216:O218)</f>
        <v>0</v>
      </c>
      <c r="P215" s="27"/>
      <c r="Q215" s="27"/>
      <c r="R215" s="28"/>
      <c r="S215" s="28"/>
    </row>
    <row r="216" spans="1:19" s="29" customFormat="1" ht="15" customHeight="1" x14ac:dyDescent="0.15">
      <c r="A216" s="132"/>
      <c r="B216" s="134"/>
      <c r="C216" s="136"/>
      <c r="D216" s="57" t="s">
        <v>45</v>
      </c>
      <c r="E216" s="58"/>
      <c r="F216" s="120" t="s">
        <v>5</v>
      </c>
      <c r="G216" s="121"/>
      <c r="H216" s="120" t="s">
        <v>5</v>
      </c>
      <c r="I216" s="121"/>
      <c r="J216" s="122" t="s">
        <v>5</v>
      </c>
      <c r="K216" s="123"/>
      <c r="L216" s="122" t="s">
        <v>5</v>
      </c>
      <c r="M216" s="123"/>
      <c r="N216" s="111" t="s">
        <v>5</v>
      </c>
      <c r="O216" s="112">
        <f>I216-K216-M216</f>
        <v>0</v>
      </c>
      <c r="P216" s="27"/>
      <c r="Q216" s="27"/>
      <c r="R216" s="28"/>
      <c r="S216" s="28"/>
    </row>
    <row r="217" spans="1:19" s="29" customFormat="1" ht="15" customHeight="1" x14ac:dyDescent="0.15">
      <c r="A217" s="132" t="s">
        <v>125</v>
      </c>
      <c r="B217" s="134" t="s">
        <v>9</v>
      </c>
      <c r="C217" s="136"/>
      <c r="D217" s="57" t="s">
        <v>46</v>
      </c>
      <c r="E217" s="58"/>
      <c r="F217" s="124" t="s">
        <v>17</v>
      </c>
      <c r="G217" s="121">
        <v>85000000</v>
      </c>
      <c r="H217" s="120" t="s">
        <v>17</v>
      </c>
      <c r="I217" s="121"/>
      <c r="J217" s="122" t="s">
        <v>17</v>
      </c>
      <c r="K217" s="123"/>
      <c r="L217" s="122" t="s">
        <v>17</v>
      </c>
      <c r="M217" s="123"/>
      <c r="N217" s="111" t="s">
        <v>17</v>
      </c>
      <c r="O217" s="112">
        <f>I217-K217-M217</f>
        <v>0</v>
      </c>
      <c r="P217" s="27"/>
      <c r="Q217" s="27"/>
      <c r="R217" s="28"/>
      <c r="S217" s="28"/>
    </row>
    <row r="218" spans="1:19" s="29" customFormat="1" ht="15" customHeight="1" x14ac:dyDescent="0.15">
      <c r="A218" s="132"/>
      <c r="B218" s="138"/>
      <c r="C218" s="137"/>
      <c r="D218" s="59" t="s">
        <v>47</v>
      </c>
      <c r="E218" s="60"/>
      <c r="F218" s="125" t="s">
        <v>18</v>
      </c>
      <c r="G218" s="126"/>
      <c r="H218" s="125" t="s">
        <v>18</v>
      </c>
      <c r="I218" s="126"/>
      <c r="J218" s="127" t="s">
        <v>18</v>
      </c>
      <c r="K218" s="128"/>
      <c r="L218" s="127" t="s">
        <v>18</v>
      </c>
      <c r="M218" s="128"/>
      <c r="N218" s="118" t="s">
        <v>18</v>
      </c>
      <c r="O218" s="119">
        <f>I218-K218-M218</f>
        <v>0</v>
      </c>
      <c r="P218" s="27"/>
      <c r="Q218" s="27"/>
      <c r="R218" s="28"/>
      <c r="S218" s="28"/>
    </row>
    <row r="219" spans="1:19" s="29" customFormat="1" ht="15" customHeight="1" x14ac:dyDescent="0.15">
      <c r="A219" s="159" t="s">
        <v>12</v>
      </c>
      <c r="B219" s="134" t="s">
        <v>8</v>
      </c>
      <c r="C219" s="136"/>
      <c r="D219" s="61" t="s">
        <v>44</v>
      </c>
      <c r="E219" s="62"/>
      <c r="F219" s="103" t="s">
        <v>4</v>
      </c>
      <c r="G219" s="104">
        <f>SUM(G220:G222)</f>
        <v>230400000</v>
      </c>
      <c r="H219" s="105" t="s">
        <v>4</v>
      </c>
      <c r="I219" s="104"/>
      <c r="J219" s="106" t="s">
        <v>4</v>
      </c>
      <c r="K219" s="104"/>
      <c r="L219" s="106" t="s">
        <v>4</v>
      </c>
      <c r="M219" s="104">
        <f>SUM(M220:M222)</f>
        <v>0</v>
      </c>
      <c r="N219" s="106" t="s">
        <v>4</v>
      </c>
      <c r="O219" s="104">
        <f>SUM(O220:O222)</f>
        <v>0</v>
      </c>
      <c r="P219" s="27"/>
      <c r="Q219" s="27"/>
      <c r="R219" s="28"/>
      <c r="S219" s="28"/>
    </row>
    <row r="220" spans="1:19" s="29" customFormat="1" ht="15" customHeight="1" x14ac:dyDescent="0.15">
      <c r="A220" s="132"/>
      <c r="B220" s="148"/>
      <c r="C220" s="136"/>
      <c r="D220" s="57" t="s">
        <v>45</v>
      </c>
      <c r="E220" s="58"/>
      <c r="F220" s="120" t="s">
        <v>5</v>
      </c>
      <c r="G220" s="121">
        <v>184320000</v>
      </c>
      <c r="H220" s="120" t="s">
        <v>5</v>
      </c>
      <c r="I220" s="121"/>
      <c r="J220" s="122" t="s">
        <v>5</v>
      </c>
      <c r="K220" s="123"/>
      <c r="L220" s="122" t="s">
        <v>5</v>
      </c>
      <c r="M220" s="123"/>
      <c r="N220" s="111" t="s">
        <v>5</v>
      </c>
      <c r="O220" s="112">
        <f>I220-K220-M220</f>
        <v>0</v>
      </c>
      <c r="P220" s="27"/>
      <c r="Q220" s="27"/>
      <c r="R220" s="28"/>
      <c r="S220" s="28"/>
    </row>
    <row r="221" spans="1:19" s="29" customFormat="1" ht="15" customHeight="1" x14ac:dyDescent="0.15">
      <c r="A221" s="132" t="s">
        <v>72</v>
      </c>
      <c r="B221" s="148" t="s">
        <v>9</v>
      </c>
      <c r="C221" s="136"/>
      <c r="D221" s="57" t="s">
        <v>46</v>
      </c>
      <c r="E221" s="58"/>
      <c r="F221" s="124" t="s">
        <v>17</v>
      </c>
      <c r="G221" s="121">
        <v>46080000</v>
      </c>
      <c r="H221" s="120" t="s">
        <v>17</v>
      </c>
      <c r="I221" s="121"/>
      <c r="J221" s="122" t="s">
        <v>17</v>
      </c>
      <c r="K221" s="123"/>
      <c r="L221" s="122" t="s">
        <v>17</v>
      </c>
      <c r="M221" s="123"/>
      <c r="N221" s="111" t="s">
        <v>17</v>
      </c>
      <c r="O221" s="112">
        <f>I221-K221-M221</f>
        <v>0</v>
      </c>
      <c r="P221" s="27"/>
      <c r="Q221" s="27"/>
      <c r="R221" s="28"/>
      <c r="S221" s="28"/>
    </row>
    <row r="222" spans="1:19" s="29" customFormat="1" ht="15" customHeight="1" x14ac:dyDescent="0.15">
      <c r="A222" s="132"/>
      <c r="B222" s="148"/>
      <c r="C222" s="136"/>
      <c r="D222" s="59" t="s">
        <v>47</v>
      </c>
      <c r="E222" s="60"/>
      <c r="F222" s="125" t="s">
        <v>18</v>
      </c>
      <c r="G222" s="126"/>
      <c r="H222" s="125" t="s">
        <v>18</v>
      </c>
      <c r="I222" s="126"/>
      <c r="J222" s="127" t="s">
        <v>18</v>
      </c>
      <c r="K222" s="128"/>
      <c r="L222" s="127" t="s">
        <v>18</v>
      </c>
      <c r="M222" s="128"/>
      <c r="N222" s="118" t="s">
        <v>18</v>
      </c>
      <c r="O222" s="119">
        <f>I222-K222-M222</f>
        <v>0</v>
      </c>
      <c r="P222" s="27"/>
      <c r="Q222" s="27"/>
      <c r="R222" s="28"/>
      <c r="S222" s="28"/>
    </row>
    <row r="223" spans="1:19" s="29" customFormat="1" ht="15" customHeight="1" x14ac:dyDescent="0.15">
      <c r="A223" s="132" t="s">
        <v>12</v>
      </c>
      <c r="B223" s="147" t="s">
        <v>8</v>
      </c>
      <c r="C223" s="135"/>
      <c r="D223" s="61" t="s">
        <v>44</v>
      </c>
      <c r="E223" s="62"/>
      <c r="F223" s="103" t="s">
        <v>4</v>
      </c>
      <c r="G223" s="104">
        <f>SUM(G224:G226)</f>
        <v>11897000</v>
      </c>
      <c r="H223" s="105" t="s">
        <v>4</v>
      </c>
      <c r="I223" s="104"/>
      <c r="J223" s="106" t="s">
        <v>4</v>
      </c>
      <c r="K223" s="104"/>
      <c r="L223" s="106" t="s">
        <v>4</v>
      </c>
      <c r="M223" s="104">
        <f>SUM(M224:M226)</f>
        <v>0</v>
      </c>
      <c r="N223" s="106" t="s">
        <v>4</v>
      </c>
      <c r="O223" s="104">
        <f>SUM(O224:O226)</f>
        <v>0</v>
      </c>
      <c r="P223" s="27"/>
      <c r="Q223" s="27"/>
      <c r="R223" s="28"/>
      <c r="S223" s="28"/>
    </row>
    <row r="224" spans="1:19" s="29" customFormat="1" ht="15" customHeight="1" x14ac:dyDescent="0.15">
      <c r="A224" s="132"/>
      <c r="B224" s="148"/>
      <c r="C224" s="136"/>
      <c r="D224" s="57" t="s">
        <v>45</v>
      </c>
      <c r="E224" s="58"/>
      <c r="F224" s="120" t="s">
        <v>5</v>
      </c>
      <c r="G224" s="121">
        <v>8328000</v>
      </c>
      <c r="H224" s="120" t="s">
        <v>5</v>
      </c>
      <c r="I224" s="121"/>
      <c r="J224" s="122" t="s">
        <v>5</v>
      </c>
      <c r="K224" s="123"/>
      <c r="L224" s="122" t="s">
        <v>5</v>
      </c>
      <c r="M224" s="123"/>
      <c r="N224" s="111" t="s">
        <v>5</v>
      </c>
      <c r="O224" s="112">
        <f>I224-K224-M224</f>
        <v>0</v>
      </c>
      <c r="P224" s="27"/>
      <c r="Q224" s="27"/>
      <c r="R224" s="28"/>
      <c r="S224" s="28"/>
    </row>
    <row r="225" spans="1:19" s="29" customFormat="1" ht="15" customHeight="1" x14ac:dyDescent="0.15">
      <c r="A225" s="132" t="s">
        <v>126</v>
      </c>
      <c r="B225" s="148" t="s">
        <v>9</v>
      </c>
      <c r="C225" s="136"/>
      <c r="D225" s="57" t="s">
        <v>46</v>
      </c>
      <c r="E225" s="58"/>
      <c r="F225" s="124" t="s">
        <v>17</v>
      </c>
      <c r="G225" s="121">
        <v>3569000</v>
      </c>
      <c r="H225" s="120" t="s">
        <v>17</v>
      </c>
      <c r="I225" s="121"/>
      <c r="J225" s="122" t="s">
        <v>17</v>
      </c>
      <c r="K225" s="123"/>
      <c r="L225" s="122" t="s">
        <v>17</v>
      </c>
      <c r="M225" s="123"/>
      <c r="N225" s="111" t="s">
        <v>17</v>
      </c>
      <c r="O225" s="112">
        <f>I225-K225-M225</f>
        <v>0</v>
      </c>
      <c r="P225" s="27"/>
      <c r="Q225" s="27"/>
      <c r="R225" s="28"/>
      <c r="S225" s="28"/>
    </row>
    <row r="226" spans="1:19" s="29" customFormat="1" ht="15" customHeight="1" x14ac:dyDescent="0.15">
      <c r="A226" s="132"/>
      <c r="B226" s="148"/>
      <c r="C226" s="136"/>
      <c r="D226" s="59" t="s">
        <v>47</v>
      </c>
      <c r="E226" s="60"/>
      <c r="F226" s="125" t="s">
        <v>18</v>
      </c>
      <c r="G226" s="126"/>
      <c r="H226" s="125" t="s">
        <v>18</v>
      </c>
      <c r="I226" s="126"/>
      <c r="J226" s="127" t="s">
        <v>18</v>
      </c>
      <c r="K226" s="128"/>
      <c r="L226" s="127" t="s">
        <v>18</v>
      </c>
      <c r="M226" s="128"/>
      <c r="N226" s="118" t="s">
        <v>18</v>
      </c>
      <c r="O226" s="119">
        <f>I226-K226-M226</f>
        <v>0</v>
      </c>
      <c r="P226" s="27"/>
      <c r="Q226" s="27"/>
      <c r="R226" s="28"/>
      <c r="S226" s="28"/>
    </row>
    <row r="227" spans="1:19" s="29" customFormat="1" ht="15" customHeight="1" x14ac:dyDescent="0.15">
      <c r="A227" s="132" t="s">
        <v>12</v>
      </c>
      <c r="B227" s="147" t="s">
        <v>8</v>
      </c>
      <c r="C227" s="135"/>
      <c r="D227" s="61" t="s">
        <v>16</v>
      </c>
      <c r="E227" s="62"/>
      <c r="F227" s="103" t="s">
        <v>4</v>
      </c>
      <c r="G227" s="104">
        <f>SUM(G228:G230)</f>
        <v>105936000</v>
      </c>
      <c r="H227" s="105" t="s">
        <v>4</v>
      </c>
      <c r="I227" s="104"/>
      <c r="J227" s="106" t="s">
        <v>4</v>
      </c>
      <c r="K227" s="104"/>
      <c r="L227" s="106" t="s">
        <v>4</v>
      </c>
      <c r="M227" s="104">
        <f>SUM(M228:M230)</f>
        <v>0</v>
      </c>
      <c r="N227" s="106" t="s">
        <v>4</v>
      </c>
      <c r="O227" s="104">
        <f>SUM(O228:O230)</f>
        <v>0</v>
      </c>
      <c r="P227" s="27"/>
      <c r="Q227" s="27"/>
      <c r="R227" s="28"/>
      <c r="S227" s="28"/>
    </row>
    <row r="228" spans="1:19" s="29" customFormat="1" ht="15" customHeight="1" x14ac:dyDescent="0.15">
      <c r="A228" s="132"/>
      <c r="B228" s="148"/>
      <c r="C228" s="136"/>
      <c r="D228" s="57" t="s">
        <v>45</v>
      </c>
      <c r="E228" s="58"/>
      <c r="F228" s="120" t="s">
        <v>5</v>
      </c>
      <c r="G228" s="121">
        <v>74155000</v>
      </c>
      <c r="H228" s="120" t="s">
        <v>5</v>
      </c>
      <c r="I228" s="121"/>
      <c r="J228" s="122" t="s">
        <v>5</v>
      </c>
      <c r="K228" s="123"/>
      <c r="L228" s="122" t="s">
        <v>5</v>
      </c>
      <c r="M228" s="123"/>
      <c r="N228" s="111" t="s">
        <v>5</v>
      </c>
      <c r="O228" s="112">
        <f>I228-K228-M228</f>
        <v>0</v>
      </c>
      <c r="P228" s="27"/>
      <c r="Q228" s="27"/>
      <c r="R228" s="28"/>
      <c r="S228" s="28"/>
    </row>
    <row r="229" spans="1:19" s="29" customFormat="1" ht="15" customHeight="1" x14ac:dyDescent="0.15">
      <c r="A229" s="132" t="s">
        <v>127</v>
      </c>
      <c r="B229" s="148" t="s">
        <v>9</v>
      </c>
      <c r="C229" s="136"/>
      <c r="D229" s="57" t="s">
        <v>15</v>
      </c>
      <c r="E229" s="58"/>
      <c r="F229" s="124" t="s">
        <v>17</v>
      </c>
      <c r="G229" s="121">
        <v>31781000</v>
      </c>
      <c r="H229" s="120" t="s">
        <v>17</v>
      </c>
      <c r="I229" s="121"/>
      <c r="J229" s="122" t="s">
        <v>17</v>
      </c>
      <c r="K229" s="123"/>
      <c r="L229" s="122" t="s">
        <v>17</v>
      </c>
      <c r="M229" s="123"/>
      <c r="N229" s="111" t="s">
        <v>17</v>
      </c>
      <c r="O229" s="112">
        <f>I229-K229-M229</f>
        <v>0</v>
      </c>
      <c r="P229" s="27"/>
      <c r="Q229" s="27"/>
      <c r="R229" s="28"/>
      <c r="S229" s="28"/>
    </row>
    <row r="230" spans="1:19" s="29" customFormat="1" ht="15" customHeight="1" x14ac:dyDescent="0.15">
      <c r="A230" s="132"/>
      <c r="B230" s="148"/>
      <c r="C230" s="136"/>
      <c r="D230" s="59" t="s">
        <v>47</v>
      </c>
      <c r="E230" s="60"/>
      <c r="F230" s="125" t="s">
        <v>18</v>
      </c>
      <c r="G230" s="126"/>
      <c r="H230" s="125" t="s">
        <v>18</v>
      </c>
      <c r="I230" s="126"/>
      <c r="J230" s="127" t="s">
        <v>18</v>
      </c>
      <c r="K230" s="128"/>
      <c r="L230" s="127" t="s">
        <v>18</v>
      </c>
      <c r="M230" s="128"/>
      <c r="N230" s="118" t="s">
        <v>18</v>
      </c>
      <c r="O230" s="119">
        <f>I230-K230-M230</f>
        <v>0</v>
      </c>
      <c r="P230" s="27"/>
      <c r="Q230" s="27"/>
      <c r="R230" s="28"/>
      <c r="S230" s="28"/>
    </row>
    <row r="231" spans="1:19" s="29" customFormat="1" ht="15" customHeight="1" x14ac:dyDescent="0.15">
      <c r="A231" s="132" t="s">
        <v>12</v>
      </c>
      <c r="B231" s="147" t="s">
        <v>8</v>
      </c>
      <c r="C231" s="135"/>
      <c r="D231" s="61" t="s">
        <v>16</v>
      </c>
      <c r="E231" s="62"/>
      <c r="F231" s="103" t="s">
        <v>4</v>
      </c>
      <c r="G231" s="104">
        <f>SUM(G232:G234)</f>
        <v>2700000</v>
      </c>
      <c r="H231" s="105" t="s">
        <v>4</v>
      </c>
      <c r="I231" s="104"/>
      <c r="J231" s="106" t="s">
        <v>4</v>
      </c>
      <c r="K231" s="104"/>
      <c r="L231" s="106" t="s">
        <v>4</v>
      </c>
      <c r="M231" s="104">
        <f>SUM(M232:M234)</f>
        <v>0</v>
      </c>
      <c r="N231" s="106" t="s">
        <v>4</v>
      </c>
      <c r="O231" s="104">
        <f>SUM(O232:O234)</f>
        <v>0</v>
      </c>
      <c r="P231" s="27"/>
      <c r="Q231" s="27"/>
      <c r="R231" s="28"/>
      <c r="S231" s="28"/>
    </row>
    <row r="232" spans="1:19" s="29" customFormat="1" ht="15" customHeight="1" x14ac:dyDescent="0.15">
      <c r="A232" s="132"/>
      <c r="B232" s="148"/>
      <c r="C232" s="136"/>
      <c r="D232" s="57" t="s">
        <v>45</v>
      </c>
      <c r="E232" s="58"/>
      <c r="F232" s="120" t="s">
        <v>5</v>
      </c>
      <c r="G232" s="121">
        <v>1890000</v>
      </c>
      <c r="H232" s="120" t="s">
        <v>5</v>
      </c>
      <c r="I232" s="121"/>
      <c r="J232" s="122" t="s">
        <v>5</v>
      </c>
      <c r="K232" s="123"/>
      <c r="L232" s="122" t="s">
        <v>5</v>
      </c>
      <c r="M232" s="123"/>
      <c r="N232" s="111" t="s">
        <v>5</v>
      </c>
      <c r="O232" s="112">
        <f>I232-K232-M232</f>
        <v>0</v>
      </c>
      <c r="P232" s="27"/>
      <c r="Q232" s="27"/>
      <c r="R232" s="28"/>
      <c r="S232" s="28"/>
    </row>
    <row r="233" spans="1:19" s="29" customFormat="1" ht="15" customHeight="1" x14ac:dyDescent="0.15">
      <c r="A233" s="132" t="s">
        <v>128</v>
      </c>
      <c r="B233" s="148" t="s">
        <v>9</v>
      </c>
      <c r="C233" s="136"/>
      <c r="D233" s="57" t="s">
        <v>15</v>
      </c>
      <c r="E233" s="58"/>
      <c r="F233" s="124" t="s">
        <v>17</v>
      </c>
      <c r="G233" s="121">
        <v>810000</v>
      </c>
      <c r="H233" s="120" t="s">
        <v>17</v>
      </c>
      <c r="I233" s="121"/>
      <c r="J233" s="122" t="s">
        <v>17</v>
      </c>
      <c r="K233" s="123"/>
      <c r="L233" s="122" t="s">
        <v>17</v>
      </c>
      <c r="M233" s="123"/>
      <c r="N233" s="111" t="s">
        <v>17</v>
      </c>
      <c r="O233" s="112">
        <f>I233-K233-M233</f>
        <v>0</v>
      </c>
      <c r="P233" s="27"/>
      <c r="Q233" s="27"/>
      <c r="R233" s="28"/>
      <c r="S233" s="28"/>
    </row>
    <row r="234" spans="1:19" s="29" customFormat="1" ht="15" customHeight="1" x14ac:dyDescent="0.15">
      <c r="A234" s="132"/>
      <c r="B234" s="148"/>
      <c r="C234" s="136"/>
      <c r="D234" s="59" t="s">
        <v>47</v>
      </c>
      <c r="E234" s="60"/>
      <c r="F234" s="125" t="s">
        <v>18</v>
      </c>
      <c r="G234" s="126"/>
      <c r="H234" s="125" t="s">
        <v>18</v>
      </c>
      <c r="I234" s="126"/>
      <c r="J234" s="127" t="s">
        <v>18</v>
      </c>
      <c r="K234" s="128"/>
      <c r="L234" s="127" t="s">
        <v>18</v>
      </c>
      <c r="M234" s="128"/>
      <c r="N234" s="118" t="s">
        <v>18</v>
      </c>
      <c r="O234" s="119">
        <f>I234-K234-M234</f>
        <v>0</v>
      </c>
      <c r="P234" s="27"/>
      <c r="Q234" s="27"/>
      <c r="R234" s="28"/>
      <c r="S234" s="28"/>
    </row>
    <row r="235" spans="1:19" s="29" customFormat="1" ht="15" customHeight="1" x14ac:dyDescent="0.15">
      <c r="A235" s="132" t="s">
        <v>12</v>
      </c>
      <c r="B235" s="147" t="s">
        <v>8</v>
      </c>
      <c r="C235" s="135"/>
      <c r="D235" s="61" t="s">
        <v>16</v>
      </c>
      <c r="E235" s="62"/>
      <c r="F235" s="103" t="s">
        <v>4</v>
      </c>
      <c r="G235" s="104">
        <f>SUM(G236:G238)</f>
        <v>1000000</v>
      </c>
      <c r="H235" s="105" t="s">
        <v>4</v>
      </c>
      <c r="I235" s="104"/>
      <c r="J235" s="106" t="s">
        <v>4</v>
      </c>
      <c r="K235" s="104"/>
      <c r="L235" s="106" t="s">
        <v>4</v>
      </c>
      <c r="M235" s="104">
        <f>SUM(M236:M238)</f>
        <v>0</v>
      </c>
      <c r="N235" s="106" t="s">
        <v>4</v>
      </c>
      <c r="O235" s="104">
        <f>SUM(O236:O238)</f>
        <v>0</v>
      </c>
      <c r="P235" s="27"/>
      <c r="Q235" s="27"/>
      <c r="R235" s="28"/>
      <c r="S235" s="28"/>
    </row>
    <row r="236" spans="1:19" s="29" customFormat="1" ht="15" customHeight="1" x14ac:dyDescent="0.15">
      <c r="A236" s="132"/>
      <c r="B236" s="148"/>
      <c r="C236" s="136"/>
      <c r="D236" s="57" t="s">
        <v>45</v>
      </c>
      <c r="E236" s="58"/>
      <c r="F236" s="120" t="s">
        <v>5</v>
      </c>
      <c r="G236" s="121"/>
      <c r="H236" s="120" t="s">
        <v>5</v>
      </c>
      <c r="I236" s="121"/>
      <c r="J236" s="122" t="s">
        <v>5</v>
      </c>
      <c r="K236" s="123"/>
      <c r="L236" s="122" t="s">
        <v>5</v>
      </c>
      <c r="M236" s="123"/>
      <c r="N236" s="111" t="s">
        <v>5</v>
      </c>
      <c r="O236" s="112">
        <f>I236-K236-M236</f>
        <v>0</v>
      </c>
      <c r="P236" s="27"/>
      <c r="Q236" s="27"/>
      <c r="R236" s="28"/>
      <c r="S236" s="28"/>
    </row>
    <row r="237" spans="1:19" s="29" customFormat="1" ht="15" customHeight="1" x14ac:dyDescent="0.15">
      <c r="A237" s="132" t="s">
        <v>130</v>
      </c>
      <c r="B237" s="148" t="s">
        <v>9</v>
      </c>
      <c r="C237" s="136"/>
      <c r="D237" s="57" t="s">
        <v>15</v>
      </c>
      <c r="E237" s="58"/>
      <c r="F237" s="124" t="s">
        <v>17</v>
      </c>
      <c r="G237" s="121">
        <v>1000000</v>
      </c>
      <c r="H237" s="120" t="s">
        <v>17</v>
      </c>
      <c r="I237" s="121"/>
      <c r="J237" s="122" t="s">
        <v>17</v>
      </c>
      <c r="K237" s="123"/>
      <c r="L237" s="122" t="s">
        <v>17</v>
      </c>
      <c r="M237" s="123"/>
      <c r="N237" s="111" t="s">
        <v>17</v>
      </c>
      <c r="O237" s="112">
        <f>I237-K237-M237</f>
        <v>0</v>
      </c>
      <c r="P237" s="27"/>
      <c r="Q237" s="27"/>
      <c r="R237" s="28"/>
      <c r="S237" s="28"/>
    </row>
    <row r="238" spans="1:19" s="29" customFormat="1" ht="15" customHeight="1" x14ac:dyDescent="0.15">
      <c r="A238" s="132"/>
      <c r="B238" s="148"/>
      <c r="C238" s="136"/>
      <c r="D238" s="59" t="s">
        <v>47</v>
      </c>
      <c r="E238" s="60"/>
      <c r="F238" s="125" t="s">
        <v>18</v>
      </c>
      <c r="G238" s="126"/>
      <c r="H238" s="125" t="s">
        <v>18</v>
      </c>
      <c r="I238" s="126"/>
      <c r="J238" s="127" t="s">
        <v>18</v>
      </c>
      <c r="K238" s="128"/>
      <c r="L238" s="127" t="s">
        <v>18</v>
      </c>
      <c r="M238" s="128"/>
      <c r="N238" s="118" t="s">
        <v>18</v>
      </c>
      <c r="O238" s="119">
        <f>I238-K238-M238</f>
        <v>0</v>
      </c>
      <c r="P238" s="27"/>
      <c r="Q238" s="27"/>
      <c r="R238" s="28"/>
      <c r="S238" s="28"/>
    </row>
    <row r="239" spans="1:19" s="29" customFormat="1" ht="15" customHeight="1" x14ac:dyDescent="0.15">
      <c r="A239" s="132" t="s">
        <v>12</v>
      </c>
      <c r="B239" s="139" t="s">
        <v>53</v>
      </c>
      <c r="C239" s="135"/>
      <c r="D239" s="61" t="s">
        <v>44</v>
      </c>
      <c r="E239" s="62"/>
      <c r="F239" s="103" t="s">
        <v>4</v>
      </c>
      <c r="G239" s="104">
        <f>SUM(G240:G242)</f>
        <v>291700000</v>
      </c>
      <c r="H239" s="105" t="s">
        <v>4</v>
      </c>
      <c r="I239" s="104"/>
      <c r="J239" s="106" t="s">
        <v>4</v>
      </c>
      <c r="K239" s="104"/>
      <c r="L239" s="106" t="s">
        <v>4</v>
      </c>
      <c r="M239" s="104">
        <f>SUM(M240:M242)</f>
        <v>0</v>
      </c>
      <c r="N239" s="106" t="s">
        <v>4</v>
      </c>
      <c r="O239" s="104">
        <f>SUM(O240:O242)</f>
        <v>0</v>
      </c>
      <c r="P239" s="27"/>
      <c r="Q239" s="27"/>
      <c r="R239" s="28"/>
      <c r="S239" s="28"/>
    </row>
    <row r="240" spans="1:19" s="29" customFormat="1" ht="15" customHeight="1" x14ac:dyDescent="0.15">
      <c r="A240" s="132"/>
      <c r="B240" s="134"/>
      <c r="C240" s="136"/>
      <c r="D240" s="57" t="s">
        <v>45</v>
      </c>
      <c r="E240" s="58"/>
      <c r="F240" s="120" t="s">
        <v>5</v>
      </c>
      <c r="G240" s="121">
        <v>204190000</v>
      </c>
      <c r="H240" s="120" t="s">
        <v>5</v>
      </c>
      <c r="I240" s="121"/>
      <c r="J240" s="122" t="s">
        <v>5</v>
      </c>
      <c r="K240" s="123"/>
      <c r="L240" s="122" t="s">
        <v>5</v>
      </c>
      <c r="M240" s="123"/>
      <c r="N240" s="111" t="s">
        <v>5</v>
      </c>
      <c r="O240" s="112">
        <f>I240-K240-M240</f>
        <v>0</v>
      </c>
      <c r="P240" s="27"/>
      <c r="Q240" s="27"/>
      <c r="R240" s="28"/>
      <c r="S240" s="28"/>
    </row>
    <row r="241" spans="1:19" s="29" customFormat="1" ht="15" customHeight="1" x14ac:dyDescent="0.15">
      <c r="A241" s="132" t="s">
        <v>129</v>
      </c>
      <c r="B241" s="134" t="s">
        <v>55</v>
      </c>
      <c r="C241" s="136"/>
      <c r="D241" s="57" t="s">
        <v>46</v>
      </c>
      <c r="E241" s="58"/>
      <c r="F241" s="124" t="s">
        <v>17</v>
      </c>
      <c r="G241" s="121">
        <v>87510000</v>
      </c>
      <c r="H241" s="120" t="s">
        <v>17</v>
      </c>
      <c r="I241" s="121"/>
      <c r="J241" s="122" t="s">
        <v>17</v>
      </c>
      <c r="K241" s="123"/>
      <c r="L241" s="122" t="s">
        <v>17</v>
      </c>
      <c r="M241" s="123"/>
      <c r="N241" s="111" t="s">
        <v>17</v>
      </c>
      <c r="O241" s="112">
        <f>I241-K241-M241</f>
        <v>0</v>
      </c>
      <c r="P241" s="27"/>
      <c r="Q241" s="27"/>
      <c r="R241" s="28"/>
      <c r="S241" s="28"/>
    </row>
    <row r="242" spans="1:19" s="29" customFormat="1" ht="15" customHeight="1" x14ac:dyDescent="0.15">
      <c r="A242" s="132"/>
      <c r="B242" s="138"/>
      <c r="C242" s="137"/>
      <c r="D242" s="59" t="s">
        <v>47</v>
      </c>
      <c r="E242" s="60"/>
      <c r="F242" s="125" t="s">
        <v>18</v>
      </c>
      <c r="G242" s="126"/>
      <c r="H242" s="125" t="s">
        <v>18</v>
      </c>
      <c r="I242" s="126"/>
      <c r="J242" s="127" t="s">
        <v>18</v>
      </c>
      <c r="K242" s="128"/>
      <c r="L242" s="127" t="s">
        <v>18</v>
      </c>
      <c r="M242" s="128"/>
      <c r="N242" s="118" t="s">
        <v>18</v>
      </c>
      <c r="O242" s="119">
        <f>I242-K242-M242</f>
        <v>0</v>
      </c>
      <c r="P242" s="27"/>
      <c r="Q242" s="27"/>
      <c r="R242" s="28"/>
      <c r="S242" s="28"/>
    </row>
    <row r="243" spans="1:19" s="29" customFormat="1" ht="15" customHeight="1" x14ac:dyDescent="0.15">
      <c r="A243" s="132" t="s">
        <v>12</v>
      </c>
      <c r="B243" s="139" t="s">
        <v>53</v>
      </c>
      <c r="C243" s="135"/>
      <c r="D243" s="61" t="s">
        <v>44</v>
      </c>
      <c r="E243" s="62"/>
      <c r="F243" s="103" t="s">
        <v>4</v>
      </c>
      <c r="G243" s="104">
        <f>SUM(G244:G246)</f>
        <v>15792250000</v>
      </c>
      <c r="H243" s="105" t="s">
        <v>4</v>
      </c>
      <c r="I243" s="104"/>
      <c r="J243" s="106" t="s">
        <v>4</v>
      </c>
      <c r="K243" s="104"/>
      <c r="L243" s="106" t="s">
        <v>4</v>
      </c>
      <c r="M243" s="104">
        <f>SUM(M244:M246)</f>
        <v>0</v>
      </c>
      <c r="N243" s="106" t="s">
        <v>4</v>
      </c>
      <c r="O243" s="104">
        <f>SUM(O244:O246)</f>
        <v>0</v>
      </c>
      <c r="P243" s="27"/>
      <c r="Q243" s="27"/>
      <c r="R243" s="28"/>
      <c r="S243" s="28"/>
    </row>
    <row r="244" spans="1:19" s="29" customFormat="1" ht="15" customHeight="1" x14ac:dyDescent="0.15">
      <c r="A244" s="132"/>
      <c r="B244" s="134"/>
      <c r="C244" s="136"/>
      <c r="D244" s="57" t="s">
        <v>45</v>
      </c>
      <c r="E244" s="58"/>
      <c r="F244" s="120" t="s">
        <v>5</v>
      </c>
      <c r="G244" s="121">
        <v>12633800000</v>
      </c>
      <c r="H244" s="120" t="s">
        <v>5</v>
      </c>
      <c r="I244" s="121"/>
      <c r="J244" s="122" t="s">
        <v>5</v>
      </c>
      <c r="K244" s="123"/>
      <c r="L244" s="122" t="s">
        <v>5</v>
      </c>
      <c r="M244" s="123"/>
      <c r="N244" s="111" t="s">
        <v>5</v>
      </c>
      <c r="O244" s="112">
        <f>I244-K244-M244</f>
        <v>0</v>
      </c>
      <c r="P244" s="27"/>
      <c r="Q244" s="27"/>
      <c r="R244" s="28"/>
      <c r="S244" s="28"/>
    </row>
    <row r="245" spans="1:19" s="29" customFormat="1" ht="15" customHeight="1" x14ac:dyDescent="0.15">
      <c r="A245" s="132" t="s">
        <v>131</v>
      </c>
      <c r="B245" s="134" t="s">
        <v>55</v>
      </c>
      <c r="C245" s="136"/>
      <c r="D245" s="57" t="s">
        <v>46</v>
      </c>
      <c r="E245" s="58"/>
      <c r="F245" s="124" t="s">
        <v>17</v>
      </c>
      <c r="G245" s="121">
        <v>2210915000</v>
      </c>
      <c r="H245" s="120" t="s">
        <v>17</v>
      </c>
      <c r="I245" s="121"/>
      <c r="J245" s="122" t="s">
        <v>17</v>
      </c>
      <c r="K245" s="123"/>
      <c r="L245" s="122" t="s">
        <v>17</v>
      </c>
      <c r="M245" s="123"/>
      <c r="N245" s="111" t="s">
        <v>17</v>
      </c>
      <c r="O245" s="112">
        <f>I245-K245-M245</f>
        <v>0</v>
      </c>
      <c r="P245" s="27"/>
      <c r="Q245" s="27"/>
      <c r="R245" s="28"/>
      <c r="S245" s="28"/>
    </row>
    <row r="246" spans="1:19" s="29" customFormat="1" ht="15" customHeight="1" x14ac:dyDescent="0.15">
      <c r="A246" s="132"/>
      <c r="B246" s="138"/>
      <c r="C246" s="136"/>
      <c r="D246" s="59" t="s">
        <v>47</v>
      </c>
      <c r="E246" s="60"/>
      <c r="F246" s="125" t="s">
        <v>18</v>
      </c>
      <c r="G246" s="126">
        <v>947535000</v>
      </c>
      <c r="H246" s="125" t="s">
        <v>18</v>
      </c>
      <c r="I246" s="126"/>
      <c r="J246" s="127" t="s">
        <v>18</v>
      </c>
      <c r="K246" s="128"/>
      <c r="L246" s="127" t="s">
        <v>18</v>
      </c>
      <c r="M246" s="128"/>
      <c r="N246" s="118" t="s">
        <v>18</v>
      </c>
      <c r="O246" s="119">
        <f>I246-K246-M246</f>
        <v>0</v>
      </c>
      <c r="P246" s="27"/>
      <c r="Q246" s="27"/>
      <c r="R246" s="28"/>
      <c r="S246" s="28"/>
    </row>
    <row r="247" spans="1:19" s="29" customFormat="1" ht="15" customHeight="1" x14ac:dyDescent="0.15">
      <c r="A247" s="132" t="s">
        <v>12</v>
      </c>
      <c r="B247" s="139" t="s">
        <v>94</v>
      </c>
      <c r="C247" s="135"/>
      <c r="D247" s="61" t="s">
        <v>44</v>
      </c>
      <c r="E247" s="62"/>
      <c r="F247" s="103" t="s">
        <v>4</v>
      </c>
      <c r="G247" s="104">
        <f>SUM(G248:G250)</f>
        <v>3609000</v>
      </c>
      <c r="H247" s="105" t="s">
        <v>4</v>
      </c>
      <c r="I247" s="104"/>
      <c r="J247" s="106" t="s">
        <v>4</v>
      </c>
      <c r="K247" s="104"/>
      <c r="L247" s="106" t="s">
        <v>4</v>
      </c>
      <c r="M247" s="129">
        <f>SUM(M248:M250)</f>
        <v>0</v>
      </c>
      <c r="N247" s="106" t="s">
        <v>4</v>
      </c>
      <c r="O247" s="104">
        <f>SUM(O248:O250)</f>
        <v>0</v>
      </c>
      <c r="P247" s="27"/>
      <c r="Q247" s="27"/>
      <c r="R247" s="28"/>
      <c r="S247" s="28"/>
    </row>
    <row r="248" spans="1:19" s="29" customFormat="1" ht="15" customHeight="1" x14ac:dyDescent="0.15">
      <c r="A248" s="132"/>
      <c r="B248" s="134"/>
      <c r="C248" s="136"/>
      <c r="D248" s="57" t="s">
        <v>45</v>
      </c>
      <c r="E248" s="58"/>
      <c r="F248" s="120" t="s">
        <v>5</v>
      </c>
      <c r="G248" s="121">
        <v>2526000</v>
      </c>
      <c r="H248" s="120" t="s">
        <v>5</v>
      </c>
      <c r="I248" s="121"/>
      <c r="J248" s="122" t="s">
        <v>5</v>
      </c>
      <c r="K248" s="123"/>
      <c r="L248" s="122" t="s">
        <v>5</v>
      </c>
      <c r="M248" s="123"/>
      <c r="N248" s="111" t="s">
        <v>5</v>
      </c>
      <c r="O248" s="112">
        <f>I248-K248-M248</f>
        <v>0</v>
      </c>
      <c r="P248" s="27"/>
      <c r="Q248" s="27"/>
      <c r="R248" s="28"/>
      <c r="S248" s="28"/>
    </row>
    <row r="249" spans="1:19" s="29" customFormat="1" ht="15" customHeight="1" x14ac:dyDescent="0.15">
      <c r="A249" s="132" t="s">
        <v>132</v>
      </c>
      <c r="B249" s="134" t="s">
        <v>95</v>
      </c>
      <c r="C249" s="136"/>
      <c r="D249" s="57" t="s">
        <v>46</v>
      </c>
      <c r="E249" s="58"/>
      <c r="F249" s="124" t="s">
        <v>17</v>
      </c>
      <c r="G249" s="121">
        <v>1083000</v>
      </c>
      <c r="H249" s="120" t="s">
        <v>17</v>
      </c>
      <c r="I249" s="121"/>
      <c r="J249" s="122" t="s">
        <v>17</v>
      </c>
      <c r="K249" s="123"/>
      <c r="L249" s="122" t="s">
        <v>17</v>
      </c>
      <c r="M249" s="123"/>
      <c r="N249" s="111" t="s">
        <v>17</v>
      </c>
      <c r="O249" s="112">
        <f>I249-K249-M249</f>
        <v>0</v>
      </c>
      <c r="P249" s="27"/>
      <c r="Q249" s="27"/>
      <c r="R249" s="28"/>
      <c r="S249" s="28"/>
    </row>
    <row r="250" spans="1:19" s="29" customFormat="1" ht="15" customHeight="1" x14ac:dyDescent="0.15">
      <c r="A250" s="132"/>
      <c r="B250" s="138"/>
      <c r="C250" s="136"/>
      <c r="D250" s="59" t="s">
        <v>47</v>
      </c>
      <c r="E250" s="60"/>
      <c r="F250" s="125" t="s">
        <v>18</v>
      </c>
      <c r="G250" s="126"/>
      <c r="H250" s="125" t="s">
        <v>18</v>
      </c>
      <c r="I250" s="126"/>
      <c r="J250" s="127" t="s">
        <v>18</v>
      </c>
      <c r="K250" s="128"/>
      <c r="L250" s="127" t="s">
        <v>18</v>
      </c>
      <c r="M250" s="128"/>
      <c r="N250" s="118" t="s">
        <v>18</v>
      </c>
      <c r="O250" s="119">
        <f>I250-K250-M250</f>
        <v>0</v>
      </c>
      <c r="P250" s="27"/>
      <c r="Q250" s="27"/>
      <c r="R250" s="28"/>
      <c r="S250" s="28"/>
    </row>
    <row r="251" spans="1:19" s="29" customFormat="1" ht="15" customHeight="1" x14ac:dyDescent="0.15">
      <c r="A251" s="132" t="s">
        <v>12</v>
      </c>
      <c r="B251" s="139" t="s">
        <v>101</v>
      </c>
      <c r="C251" s="135"/>
      <c r="D251" s="61" t="s">
        <v>44</v>
      </c>
      <c r="E251" s="62"/>
      <c r="F251" s="103" t="s">
        <v>4</v>
      </c>
      <c r="G251" s="104">
        <f>SUM(G252:G254)</f>
        <v>201000000</v>
      </c>
      <c r="H251" s="105" t="s">
        <v>4</v>
      </c>
      <c r="I251" s="104"/>
      <c r="J251" s="106" t="s">
        <v>4</v>
      </c>
      <c r="K251" s="104"/>
      <c r="L251" s="106" t="s">
        <v>4</v>
      </c>
      <c r="M251" s="104">
        <f>SUM(M252:M254)</f>
        <v>0</v>
      </c>
      <c r="N251" s="106" t="s">
        <v>4</v>
      </c>
      <c r="O251" s="104">
        <f>SUM(O252:O254)</f>
        <v>0</v>
      </c>
      <c r="P251" s="27"/>
      <c r="Q251" s="27"/>
      <c r="R251" s="28"/>
      <c r="S251" s="28"/>
    </row>
    <row r="252" spans="1:19" s="29" customFormat="1" ht="15" customHeight="1" x14ac:dyDescent="0.15">
      <c r="A252" s="132"/>
      <c r="B252" s="134"/>
      <c r="C252" s="136"/>
      <c r="D252" s="57" t="s">
        <v>45</v>
      </c>
      <c r="E252" s="58"/>
      <c r="F252" s="120" t="s">
        <v>5</v>
      </c>
      <c r="G252" s="121">
        <v>180900000</v>
      </c>
      <c r="H252" s="120" t="s">
        <v>5</v>
      </c>
      <c r="I252" s="121"/>
      <c r="J252" s="122" t="s">
        <v>5</v>
      </c>
      <c r="K252" s="121"/>
      <c r="L252" s="122" t="s">
        <v>5</v>
      </c>
      <c r="M252" s="123"/>
      <c r="N252" s="111" t="s">
        <v>5</v>
      </c>
      <c r="O252" s="112">
        <f>I252-K252-M252</f>
        <v>0</v>
      </c>
      <c r="P252" s="27"/>
      <c r="Q252" s="27"/>
      <c r="R252" s="28"/>
      <c r="S252" s="28"/>
    </row>
    <row r="253" spans="1:19" s="29" customFormat="1" ht="15" customHeight="1" x14ac:dyDescent="0.15">
      <c r="A253" s="132" t="s">
        <v>133</v>
      </c>
      <c r="B253" s="134" t="s">
        <v>102</v>
      </c>
      <c r="C253" s="136"/>
      <c r="D253" s="57" t="s">
        <v>46</v>
      </c>
      <c r="E253" s="58"/>
      <c r="F253" s="124" t="s">
        <v>17</v>
      </c>
      <c r="G253" s="121">
        <v>20100000</v>
      </c>
      <c r="H253" s="120" t="s">
        <v>17</v>
      </c>
      <c r="I253" s="121"/>
      <c r="J253" s="122" t="s">
        <v>17</v>
      </c>
      <c r="K253" s="121"/>
      <c r="L253" s="122" t="s">
        <v>17</v>
      </c>
      <c r="M253" s="123"/>
      <c r="N253" s="111" t="s">
        <v>17</v>
      </c>
      <c r="O253" s="112">
        <f>I253-K253-M253</f>
        <v>0</v>
      </c>
      <c r="P253" s="27"/>
      <c r="Q253" s="27"/>
      <c r="R253" s="28"/>
      <c r="S253" s="28"/>
    </row>
    <row r="254" spans="1:19" s="29" customFormat="1" ht="15" customHeight="1" x14ac:dyDescent="0.15">
      <c r="A254" s="132"/>
      <c r="B254" s="138"/>
      <c r="C254" s="136"/>
      <c r="D254" s="59" t="s">
        <v>47</v>
      </c>
      <c r="E254" s="60"/>
      <c r="F254" s="125" t="s">
        <v>18</v>
      </c>
      <c r="G254" s="126"/>
      <c r="H254" s="125" t="s">
        <v>18</v>
      </c>
      <c r="I254" s="126"/>
      <c r="J254" s="127" t="s">
        <v>18</v>
      </c>
      <c r="K254" s="126"/>
      <c r="L254" s="127" t="s">
        <v>18</v>
      </c>
      <c r="M254" s="128"/>
      <c r="N254" s="118" t="s">
        <v>18</v>
      </c>
      <c r="O254" s="119">
        <f>I254-K254-M254</f>
        <v>0</v>
      </c>
      <c r="P254" s="27"/>
      <c r="Q254" s="27"/>
      <c r="R254" s="28"/>
      <c r="S254" s="28"/>
    </row>
    <row r="255" spans="1:19" s="29" customFormat="1" ht="15" customHeight="1" x14ac:dyDescent="0.15">
      <c r="A255" s="132" t="s">
        <v>12</v>
      </c>
      <c r="B255" s="139" t="s">
        <v>73</v>
      </c>
      <c r="C255" s="135"/>
      <c r="D255" s="61" t="s">
        <v>44</v>
      </c>
      <c r="E255" s="62"/>
      <c r="F255" s="103" t="s">
        <v>4</v>
      </c>
      <c r="G255" s="104">
        <f>SUM(G256:G258)</f>
        <v>1582934000</v>
      </c>
      <c r="H255" s="105" t="s">
        <v>4</v>
      </c>
      <c r="I255" s="104"/>
      <c r="J255" s="106" t="s">
        <v>4</v>
      </c>
      <c r="K255" s="104"/>
      <c r="L255" s="106" t="s">
        <v>4</v>
      </c>
      <c r="M255" s="104">
        <f>SUM(M256:M258)</f>
        <v>0</v>
      </c>
      <c r="N255" s="106" t="s">
        <v>4</v>
      </c>
      <c r="O255" s="104">
        <f>SUM(O256:O258)</f>
        <v>0</v>
      </c>
      <c r="P255" s="27"/>
      <c r="Q255" s="27"/>
      <c r="R255" s="28"/>
      <c r="S255" s="28"/>
    </row>
    <row r="256" spans="1:19" s="29" customFormat="1" ht="15" customHeight="1" x14ac:dyDescent="0.15">
      <c r="A256" s="132"/>
      <c r="B256" s="134"/>
      <c r="C256" s="136"/>
      <c r="D256" s="57" t="s">
        <v>45</v>
      </c>
      <c r="E256" s="58"/>
      <c r="F256" s="120" t="s">
        <v>5</v>
      </c>
      <c r="G256" s="121"/>
      <c r="H256" s="120" t="s">
        <v>5</v>
      </c>
      <c r="I256" s="121"/>
      <c r="J256" s="122" t="s">
        <v>5</v>
      </c>
      <c r="K256" s="123"/>
      <c r="L256" s="122" t="s">
        <v>5</v>
      </c>
      <c r="M256" s="123"/>
      <c r="N256" s="111" t="s">
        <v>5</v>
      </c>
      <c r="O256" s="112">
        <f>I256-K256-M256</f>
        <v>0</v>
      </c>
      <c r="P256" s="27"/>
      <c r="Q256" s="27"/>
      <c r="R256" s="28"/>
      <c r="S256" s="28"/>
    </row>
    <row r="257" spans="1:19" s="29" customFormat="1" ht="15" customHeight="1" x14ac:dyDescent="0.15">
      <c r="A257" s="132" t="s">
        <v>134</v>
      </c>
      <c r="B257" s="134" t="s">
        <v>74</v>
      </c>
      <c r="C257" s="136"/>
      <c r="D257" s="57" t="s">
        <v>46</v>
      </c>
      <c r="E257" s="58"/>
      <c r="F257" s="124" t="s">
        <v>17</v>
      </c>
      <c r="G257" s="121">
        <v>1582934000</v>
      </c>
      <c r="H257" s="120" t="s">
        <v>17</v>
      </c>
      <c r="I257" s="121"/>
      <c r="J257" s="122" t="s">
        <v>17</v>
      </c>
      <c r="K257" s="123"/>
      <c r="L257" s="122" t="s">
        <v>17</v>
      </c>
      <c r="M257" s="123"/>
      <c r="N257" s="111" t="s">
        <v>17</v>
      </c>
      <c r="O257" s="112">
        <f>I257-K257-M257</f>
        <v>0</v>
      </c>
      <c r="P257" s="27"/>
      <c r="Q257" s="27"/>
      <c r="R257" s="28"/>
      <c r="S257" s="28"/>
    </row>
    <row r="258" spans="1:19" s="29" customFormat="1" ht="15" customHeight="1" x14ac:dyDescent="0.15">
      <c r="A258" s="132"/>
      <c r="B258" s="138"/>
      <c r="C258" s="136"/>
      <c r="D258" s="59" t="s">
        <v>47</v>
      </c>
      <c r="E258" s="60"/>
      <c r="F258" s="125" t="s">
        <v>18</v>
      </c>
      <c r="G258" s="126"/>
      <c r="H258" s="125" t="s">
        <v>18</v>
      </c>
      <c r="I258" s="126"/>
      <c r="J258" s="127" t="s">
        <v>18</v>
      </c>
      <c r="K258" s="128"/>
      <c r="L258" s="127" t="s">
        <v>18</v>
      </c>
      <c r="M258" s="128"/>
      <c r="N258" s="118" t="s">
        <v>18</v>
      </c>
      <c r="O258" s="119">
        <f>I258-K258-M258</f>
        <v>0</v>
      </c>
      <c r="P258" s="27"/>
      <c r="Q258" s="27"/>
      <c r="R258" s="28"/>
      <c r="S258" s="28"/>
    </row>
    <row r="259" spans="1:19" s="29" customFormat="1" ht="15" customHeight="1" x14ac:dyDescent="0.15">
      <c r="A259" s="132" t="s">
        <v>12</v>
      </c>
      <c r="B259" s="139" t="s">
        <v>101</v>
      </c>
      <c r="C259" s="135"/>
      <c r="D259" s="61" t="s">
        <v>44</v>
      </c>
      <c r="E259" s="62"/>
      <c r="F259" s="103" t="s">
        <v>4</v>
      </c>
      <c r="G259" s="104">
        <f>SUM(G260:G262)</f>
        <v>36000000</v>
      </c>
      <c r="H259" s="105" t="s">
        <v>4</v>
      </c>
      <c r="I259" s="104"/>
      <c r="J259" s="106" t="s">
        <v>4</v>
      </c>
      <c r="K259" s="104"/>
      <c r="L259" s="106" t="s">
        <v>4</v>
      </c>
      <c r="M259" s="104">
        <f>SUM(M260:M262)</f>
        <v>0</v>
      </c>
      <c r="N259" s="106" t="s">
        <v>4</v>
      </c>
      <c r="O259" s="104">
        <f>SUM(O260:O262)</f>
        <v>0</v>
      </c>
      <c r="P259" s="27"/>
      <c r="Q259" s="27"/>
      <c r="R259" s="28"/>
      <c r="S259" s="28"/>
    </row>
    <row r="260" spans="1:19" s="29" customFormat="1" ht="15" customHeight="1" x14ac:dyDescent="0.15">
      <c r="A260" s="132"/>
      <c r="B260" s="134"/>
      <c r="C260" s="136"/>
      <c r="D260" s="57" t="s">
        <v>45</v>
      </c>
      <c r="E260" s="58"/>
      <c r="F260" s="120" t="s">
        <v>5</v>
      </c>
      <c r="G260" s="121"/>
      <c r="H260" s="120" t="s">
        <v>5</v>
      </c>
      <c r="I260" s="121"/>
      <c r="J260" s="122" t="s">
        <v>5</v>
      </c>
      <c r="K260" s="123"/>
      <c r="L260" s="122" t="s">
        <v>5</v>
      </c>
      <c r="M260" s="123"/>
      <c r="N260" s="111" t="s">
        <v>5</v>
      </c>
      <c r="O260" s="112">
        <f>I260-K260-M260</f>
        <v>0</v>
      </c>
      <c r="P260" s="27"/>
      <c r="Q260" s="27"/>
      <c r="R260" s="28"/>
      <c r="S260" s="28"/>
    </row>
    <row r="261" spans="1:19" s="29" customFormat="1" ht="15" customHeight="1" x14ac:dyDescent="0.15">
      <c r="A261" s="132" t="s">
        <v>135</v>
      </c>
      <c r="B261" s="134" t="s">
        <v>102</v>
      </c>
      <c r="C261" s="136"/>
      <c r="D261" s="57" t="s">
        <v>46</v>
      </c>
      <c r="E261" s="58"/>
      <c r="F261" s="124" t="s">
        <v>17</v>
      </c>
      <c r="G261" s="121">
        <v>36000000</v>
      </c>
      <c r="H261" s="120" t="s">
        <v>17</v>
      </c>
      <c r="I261" s="121"/>
      <c r="J261" s="122" t="s">
        <v>17</v>
      </c>
      <c r="K261" s="123"/>
      <c r="L261" s="122" t="s">
        <v>17</v>
      </c>
      <c r="M261" s="123"/>
      <c r="N261" s="111" t="s">
        <v>17</v>
      </c>
      <c r="O261" s="112">
        <f>I261-K261-M261</f>
        <v>0</v>
      </c>
      <c r="P261" s="27"/>
      <c r="Q261" s="27"/>
      <c r="R261" s="28"/>
      <c r="S261" s="28"/>
    </row>
    <row r="262" spans="1:19" s="29" customFormat="1" ht="15" customHeight="1" x14ac:dyDescent="0.15">
      <c r="A262" s="132"/>
      <c r="B262" s="138"/>
      <c r="C262" s="136"/>
      <c r="D262" s="59" t="s">
        <v>47</v>
      </c>
      <c r="E262" s="60"/>
      <c r="F262" s="125" t="s">
        <v>18</v>
      </c>
      <c r="G262" s="126"/>
      <c r="H262" s="125" t="s">
        <v>18</v>
      </c>
      <c r="I262" s="126"/>
      <c r="J262" s="127" t="s">
        <v>18</v>
      </c>
      <c r="K262" s="128"/>
      <c r="L262" s="127" t="s">
        <v>18</v>
      </c>
      <c r="M262" s="128"/>
      <c r="N262" s="118" t="s">
        <v>18</v>
      </c>
      <c r="O262" s="119">
        <f>I262-K262-M262</f>
        <v>0</v>
      </c>
      <c r="P262" s="27"/>
      <c r="Q262" s="27"/>
      <c r="R262" s="28"/>
      <c r="S262" s="28"/>
    </row>
    <row r="263" spans="1:19" s="29" customFormat="1" ht="15" customHeight="1" x14ac:dyDescent="0.15">
      <c r="A263" s="132" t="s">
        <v>12</v>
      </c>
      <c r="B263" s="147" t="s">
        <v>109</v>
      </c>
      <c r="C263" s="135"/>
      <c r="D263" s="61" t="s">
        <v>44</v>
      </c>
      <c r="E263" s="62"/>
      <c r="F263" s="103" t="s">
        <v>4</v>
      </c>
      <c r="G263" s="104">
        <f>SUM(G264:G266)</f>
        <v>2000000</v>
      </c>
      <c r="H263" s="105" t="s">
        <v>4</v>
      </c>
      <c r="I263" s="104"/>
      <c r="J263" s="106" t="s">
        <v>4</v>
      </c>
      <c r="K263" s="104"/>
      <c r="L263" s="106" t="s">
        <v>4</v>
      </c>
      <c r="M263" s="104">
        <f>SUM(M264:M266)</f>
        <v>0</v>
      </c>
      <c r="N263" s="106" t="s">
        <v>4</v>
      </c>
      <c r="O263" s="104">
        <f>SUM(O264:O266)</f>
        <v>0</v>
      </c>
      <c r="P263" s="27"/>
      <c r="Q263" s="27"/>
      <c r="R263" s="28"/>
      <c r="S263" s="28"/>
    </row>
    <row r="264" spans="1:19" s="29" customFormat="1" ht="15" customHeight="1" x14ac:dyDescent="0.15">
      <c r="A264" s="132"/>
      <c r="B264" s="148"/>
      <c r="C264" s="136"/>
      <c r="D264" s="57" t="s">
        <v>45</v>
      </c>
      <c r="E264" s="58"/>
      <c r="F264" s="120" t="s">
        <v>5</v>
      </c>
      <c r="G264" s="121"/>
      <c r="H264" s="120" t="s">
        <v>5</v>
      </c>
      <c r="I264" s="121"/>
      <c r="J264" s="122" t="s">
        <v>5</v>
      </c>
      <c r="K264" s="123"/>
      <c r="L264" s="122" t="s">
        <v>5</v>
      </c>
      <c r="M264" s="123"/>
      <c r="N264" s="111" t="s">
        <v>5</v>
      </c>
      <c r="O264" s="112">
        <f>I264-K264-M264</f>
        <v>0</v>
      </c>
      <c r="P264" s="27"/>
      <c r="Q264" s="27"/>
      <c r="R264" s="28"/>
      <c r="S264" s="28"/>
    </row>
    <row r="265" spans="1:19" s="29" customFormat="1" ht="15" customHeight="1" x14ac:dyDescent="0.15">
      <c r="A265" s="132" t="s">
        <v>136</v>
      </c>
      <c r="B265" s="148" t="s">
        <v>110</v>
      </c>
      <c r="C265" s="136"/>
      <c r="D265" s="57" t="s">
        <v>46</v>
      </c>
      <c r="E265" s="58"/>
      <c r="F265" s="124" t="s">
        <v>17</v>
      </c>
      <c r="G265" s="121">
        <v>2000000</v>
      </c>
      <c r="H265" s="120" t="s">
        <v>17</v>
      </c>
      <c r="I265" s="121"/>
      <c r="J265" s="122" t="s">
        <v>17</v>
      </c>
      <c r="K265" s="123"/>
      <c r="L265" s="122" t="s">
        <v>17</v>
      </c>
      <c r="M265" s="123"/>
      <c r="N265" s="111" t="s">
        <v>17</v>
      </c>
      <c r="O265" s="112">
        <f>I265-K265-M265</f>
        <v>0</v>
      </c>
      <c r="P265" s="27"/>
      <c r="Q265" s="27"/>
      <c r="R265" s="28"/>
      <c r="S265" s="28"/>
    </row>
    <row r="266" spans="1:19" s="29" customFormat="1" ht="15" customHeight="1" x14ac:dyDescent="0.15">
      <c r="A266" s="132"/>
      <c r="B266" s="148"/>
      <c r="C266" s="136"/>
      <c r="D266" s="59" t="s">
        <v>47</v>
      </c>
      <c r="E266" s="60"/>
      <c r="F266" s="125" t="s">
        <v>18</v>
      </c>
      <c r="G266" s="126"/>
      <c r="H266" s="125" t="s">
        <v>18</v>
      </c>
      <c r="I266" s="126"/>
      <c r="J266" s="127" t="s">
        <v>18</v>
      </c>
      <c r="K266" s="128"/>
      <c r="L266" s="127" t="s">
        <v>18</v>
      </c>
      <c r="M266" s="128"/>
      <c r="N266" s="118" t="s">
        <v>18</v>
      </c>
      <c r="O266" s="119">
        <f>I266-K266-M266</f>
        <v>0</v>
      </c>
      <c r="P266" s="27"/>
      <c r="Q266" s="27"/>
      <c r="R266" s="28"/>
      <c r="S266" s="28"/>
    </row>
    <row r="267" spans="1:19" s="29" customFormat="1" ht="15" customHeight="1" x14ac:dyDescent="0.15">
      <c r="A267" s="132" t="s">
        <v>12</v>
      </c>
      <c r="B267" s="139" t="s">
        <v>73</v>
      </c>
      <c r="C267" s="135"/>
      <c r="D267" s="61" t="s">
        <v>44</v>
      </c>
      <c r="E267" s="62"/>
      <c r="F267" s="103" t="s">
        <v>4</v>
      </c>
      <c r="G267" s="104">
        <f>SUM(G268:G270)</f>
        <v>86643000</v>
      </c>
      <c r="H267" s="105" t="s">
        <v>4</v>
      </c>
      <c r="I267" s="104"/>
      <c r="J267" s="106" t="s">
        <v>4</v>
      </c>
      <c r="K267" s="104"/>
      <c r="L267" s="106" t="s">
        <v>4</v>
      </c>
      <c r="M267" s="104">
        <f>SUM(M268:M270)</f>
        <v>0</v>
      </c>
      <c r="N267" s="106" t="s">
        <v>4</v>
      </c>
      <c r="O267" s="104">
        <f>SUM(O268:O270)</f>
        <v>0</v>
      </c>
      <c r="P267" s="27"/>
      <c r="Q267" s="27"/>
      <c r="R267" s="28"/>
      <c r="S267" s="28"/>
    </row>
    <row r="268" spans="1:19" s="29" customFormat="1" ht="15" customHeight="1" x14ac:dyDescent="0.15">
      <c r="A268" s="132"/>
      <c r="B268" s="134"/>
      <c r="C268" s="136"/>
      <c r="D268" s="57" t="s">
        <v>45</v>
      </c>
      <c r="E268" s="58"/>
      <c r="F268" s="120" t="s">
        <v>5</v>
      </c>
      <c r="G268" s="121">
        <v>34657000</v>
      </c>
      <c r="H268" s="120" t="s">
        <v>5</v>
      </c>
      <c r="I268" s="121"/>
      <c r="J268" s="122" t="s">
        <v>5</v>
      </c>
      <c r="K268" s="123"/>
      <c r="L268" s="122" t="s">
        <v>5</v>
      </c>
      <c r="M268" s="123"/>
      <c r="N268" s="111" t="s">
        <v>5</v>
      </c>
      <c r="O268" s="112">
        <f>I268-K268-M268</f>
        <v>0</v>
      </c>
      <c r="P268" s="27"/>
      <c r="Q268" s="27"/>
      <c r="R268" s="28"/>
      <c r="S268" s="28"/>
    </row>
    <row r="269" spans="1:19" s="29" customFormat="1" ht="15" customHeight="1" x14ac:dyDescent="0.15">
      <c r="A269" s="132" t="s">
        <v>137</v>
      </c>
      <c r="B269" s="134" t="s">
        <v>74</v>
      </c>
      <c r="C269" s="136"/>
      <c r="D269" s="57" t="s">
        <v>46</v>
      </c>
      <c r="E269" s="58"/>
      <c r="F269" s="124" t="s">
        <v>17</v>
      </c>
      <c r="G269" s="121">
        <v>51986000</v>
      </c>
      <c r="H269" s="120" t="s">
        <v>17</v>
      </c>
      <c r="I269" s="121"/>
      <c r="J269" s="122" t="s">
        <v>17</v>
      </c>
      <c r="K269" s="123"/>
      <c r="L269" s="122" t="s">
        <v>17</v>
      </c>
      <c r="M269" s="123"/>
      <c r="N269" s="111" t="s">
        <v>17</v>
      </c>
      <c r="O269" s="112">
        <f>I269-K269-M269</f>
        <v>0</v>
      </c>
      <c r="P269" s="27"/>
      <c r="Q269" s="27"/>
      <c r="R269" s="28"/>
      <c r="S269" s="28"/>
    </row>
    <row r="270" spans="1:19" s="29" customFormat="1" ht="15" customHeight="1" x14ac:dyDescent="0.15">
      <c r="A270" s="132"/>
      <c r="B270" s="138"/>
      <c r="C270" s="137"/>
      <c r="D270" s="59" t="s">
        <v>47</v>
      </c>
      <c r="E270" s="60"/>
      <c r="F270" s="125" t="s">
        <v>18</v>
      </c>
      <c r="G270" s="126"/>
      <c r="H270" s="125" t="s">
        <v>18</v>
      </c>
      <c r="I270" s="126"/>
      <c r="J270" s="127" t="s">
        <v>18</v>
      </c>
      <c r="K270" s="128"/>
      <c r="L270" s="127" t="s">
        <v>18</v>
      </c>
      <c r="M270" s="128"/>
      <c r="N270" s="118" t="s">
        <v>18</v>
      </c>
      <c r="O270" s="119">
        <f>I270-K270-M270</f>
        <v>0</v>
      </c>
      <c r="P270" s="27"/>
      <c r="Q270" s="27"/>
      <c r="R270" s="28"/>
      <c r="S270" s="28"/>
    </row>
    <row r="271" spans="1:19" s="29" customFormat="1" ht="15" customHeight="1" x14ac:dyDescent="0.15">
      <c r="A271" s="132" t="s">
        <v>12</v>
      </c>
      <c r="B271" s="139" t="s">
        <v>73</v>
      </c>
      <c r="C271" s="135"/>
      <c r="D271" s="61" t="s">
        <v>44</v>
      </c>
      <c r="E271" s="62"/>
      <c r="F271" s="103" t="s">
        <v>4</v>
      </c>
      <c r="G271" s="104">
        <f>SUM(G272:G274)</f>
        <v>27315000</v>
      </c>
      <c r="H271" s="105" t="s">
        <v>4</v>
      </c>
      <c r="I271" s="104"/>
      <c r="J271" s="106" t="s">
        <v>4</v>
      </c>
      <c r="K271" s="104"/>
      <c r="L271" s="106" t="s">
        <v>4</v>
      </c>
      <c r="M271" s="104">
        <f>SUM(M272:M274)</f>
        <v>0</v>
      </c>
      <c r="N271" s="106" t="s">
        <v>4</v>
      </c>
      <c r="O271" s="104">
        <f>SUM(O272:O274)</f>
        <v>0</v>
      </c>
      <c r="P271" s="27"/>
      <c r="Q271" s="27"/>
      <c r="R271" s="28"/>
      <c r="S271" s="28"/>
    </row>
    <row r="272" spans="1:19" s="29" customFormat="1" ht="15" customHeight="1" x14ac:dyDescent="0.15">
      <c r="A272" s="132"/>
      <c r="B272" s="134"/>
      <c r="C272" s="136"/>
      <c r="D272" s="57" t="s">
        <v>45</v>
      </c>
      <c r="E272" s="58"/>
      <c r="F272" s="120" t="s">
        <v>5</v>
      </c>
      <c r="G272" s="121"/>
      <c r="H272" s="120" t="s">
        <v>5</v>
      </c>
      <c r="I272" s="121"/>
      <c r="J272" s="122" t="s">
        <v>5</v>
      </c>
      <c r="K272" s="123"/>
      <c r="L272" s="122" t="s">
        <v>5</v>
      </c>
      <c r="M272" s="123"/>
      <c r="N272" s="111" t="s">
        <v>5</v>
      </c>
      <c r="O272" s="112">
        <f>I272-K272-M272</f>
        <v>0</v>
      </c>
      <c r="P272" s="27"/>
      <c r="Q272" s="27"/>
      <c r="R272" s="28"/>
      <c r="S272" s="28"/>
    </row>
    <row r="273" spans="1:19" s="29" customFormat="1" ht="15" customHeight="1" x14ac:dyDescent="0.15">
      <c r="A273" s="132" t="s">
        <v>138</v>
      </c>
      <c r="B273" s="134" t="s">
        <v>74</v>
      </c>
      <c r="C273" s="136"/>
      <c r="D273" s="57" t="s">
        <v>46</v>
      </c>
      <c r="E273" s="58"/>
      <c r="F273" s="124" t="s">
        <v>17</v>
      </c>
      <c r="G273" s="121">
        <v>27315000</v>
      </c>
      <c r="H273" s="120" t="s">
        <v>17</v>
      </c>
      <c r="I273" s="121"/>
      <c r="J273" s="122" t="s">
        <v>17</v>
      </c>
      <c r="K273" s="123"/>
      <c r="L273" s="122" t="s">
        <v>17</v>
      </c>
      <c r="M273" s="123"/>
      <c r="N273" s="111" t="s">
        <v>17</v>
      </c>
      <c r="O273" s="112">
        <f>I273-K273-M273</f>
        <v>0</v>
      </c>
      <c r="P273" s="27"/>
      <c r="Q273" s="27"/>
      <c r="R273" s="28"/>
      <c r="S273" s="28"/>
    </row>
    <row r="274" spans="1:19" s="29" customFormat="1" ht="15" customHeight="1" x14ac:dyDescent="0.15">
      <c r="A274" s="132"/>
      <c r="B274" s="138"/>
      <c r="C274" s="137"/>
      <c r="D274" s="59" t="s">
        <v>47</v>
      </c>
      <c r="E274" s="60"/>
      <c r="F274" s="125" t="s">
        <v>18</v>
      </c>
      <c r="G274" s="126"/>
      <c r="H274" s="125" t="s">
        <v>18</v>
      </c>
      <c r="I274" s="126"/>
      <c r="J274" s="127" t="s">
        <v>18</v>
      </c>
      <c r="K274" s="128"/>
      <c r="L274" s="127" t="s">
        <v>18</v>
      </c>
      <c r="M274" s="128"/>
      <c r="N274" s="118" t="s">
        <v>18</v>
      </c>
      <c r="O274" s="119">
        <f>I274-K274-M274</f>
        <v>0</v>
      </c>
      <c r="P274" s="27"/>
      <c r="Q274" s="27"/>
      <c r="R274" s="28"/>
      <c r="S274" s="28"/>
    </row>
    <row r="275" spans="1:19" s="29" customFormat="1" ht="15" customHeight="1" x14ac:dyDescent="0.15">
      <c r="A275" s="132" t="s">
        <v>12</v>
      </c>
      <c r="B275" s="139" t="s">
        <v>109</v>
      </c>
      <c r="C275" s="135"/>
      <c r="D275" s="61" t="s">
        <v>44</v>
      </c>
      <c r="E275" s="62"/>
      <c r="F275" s="103" t="s">
        <v>4</v>
      </c>
      <c r="G275" s="104">
        <f>SUM(G276:G278)</f>
        <v>10180000</v>
      </c>
      <c r="H275" s="105" t="s">
        <v>4</v>
      </c>
      <c r="I275" s="104"/>
      <c r="J275" s="106" t="s">
        <v>4</v>
      </c>
      <c r="K275" s="104"/>
      <c r="L275" s="106" t="s">
        <v>4</v>
      </c>
      <c r="M275" s="104">
        <f>SUM(M276:M278)</f>
        <v>0</v>
      </c>
      <c r="N275" s="106" t="s">
        <v>4</v>
      </c>
      <c r="O275" s="104">
        <f>SUM(O276:O278)</f>
        <v>0</v>
      </c>
      <c r="P275" s="27"/>
      <c r="Q275" s="27"/>
      <c r="R275" s="28"/>
      <c r="S275" s="28"/>
    </row>
    <row r="276" spans="1:19" s="29" customFormat="1" ht="15" customHeight="1" x14ac:dyDescent="0.15">
      <c r="A276" s="132"/>
      <c r="B276" s="134"/>
      <c r="C276" s="136"/>
      <c r="D276" s="57" t="s">
        <v>45</v>
      </c>
      <c r="E276" s="58"/>
      <c r="F276" s="120" t="s">
        <v>5</v>
      </c>
      <c r="G276" s="121"/>
      <c r="H276" s="120" t="s">
        <v>5</v>
      </c>
      <c r="I276" s="121"/>
      <c r="J276" s="122" t="s">
        <v>5</v>
      </c>
      <c r="K276" s="123"/>
      <c r="L276" s="122" t="s">
        <v>5</v>
      </c>
      <c r="M276" s="123"/>
      <c r="N276" s="111" t="s">
        <v>5</v>
      </c>
      <c r="O276" s="112">
        <f>I276-K276-M276</f>
        <v>0</v>
      </c>
      <c r="P276" s="27"/>
      <c r="Q276" s="27"/>
      <c r="R276" s="28"/>
      <c r="S276" s="28"/>
    </row>
    <row r="277" spans="1:19" s="29" customFormat="1" ht="15" customHeight="1" x14ac:dyDescent="0.15">
      <c r="A277" s="132" t="s">
        <v>139</v>
      </c>
      <c r="B277" s="134" t="s">
        <v>110</v>
      </c>
      <c r="C277" s="136"/>
      <c r="D277" s="57" t="s">
        <v>46</v>
      </c>
      <c r="E277" s="58"/>
      <c r="F277" s="124" t="s">
        <v>17</v>
      </c>
      <c r="G277" s="121">
        <v>10180000</v>
      </c>
      <c r="H277" s="120" t="s">
        <v>17</v>
      </c>
      <c r="I277" s="121"/>
      <c r="J277" s="122" t="s">
        <v>17</v>
      </c>
      <c r="K277" s="123"/>
      <c r="L277" s="122" t="s">
        <v>17</v>
      </c>
      <c r="M277" s="123"/>
      <c r="N277" s="111" t="s">
        <v>17</v>
      </c>
      <c r="O277" s="112">
        <f>I277-K277-M277</f>
        <v>0</v>
      </c>
      <c r="P277" s="27"/>
      <c r="Q277" s="27"/>
      <c r="R277" s="28"/>
      <c r="S277" s="28"/>
    </row>
    <row r="278" spans="1:19" s="29" customFormat="1" ht="15" customHeight="1" x14ac:dyDescent="0.15">
      <c r="A278" s="132"/>
      <c r="B278" s="138"/>
      <c r="C278" s="137"/>
      <c r="D278" s="59" t="s">
        <v>47</v>
      </c>
      <c r="E278" s="60"/>
      <c r="F278" s="125" t="s">
        <v>18</v>
      </c>
      <c r="G278" s="126"/>
      <c r="H278" s="125" t="s">
        <v>18</v>
      </c>
      <c r="I278" s="126"/>
      <c r="J278" s="127" t="s">
        <v>18</v>
      </c>
      <c r="K278" s="128"/>
      <c r="L278" s="127" t="s">
        <v>18</v>
      </c>
      <c r="M278" s="128"/>
      <c r="N278" s="118" t="s">
        <v>18</v>
      </c>
      <c r="O278" s="119">
        <f>I278-K278-M278</f>
        <v>0</v>
      </c>
      <c r="P278" s="27"/>
      <c r="Q278" s="27"/>
      <c r="R278" s="28"/>
      <c r="S278" s="28"/>
    </row>
    <row r="279" spans="1:19" s="29" customFormat="1" ht="15" customHeight="1" x14ac:dyDescent="0.15">
      <c r="A279" s="159" t="s">
        <v>12</v>
      </c>
      <c r="B279" s="155" t="s">
        <v>109</v>
      </c>
      <c r="C279" s="135"/>
      <c r="D279" s="61" t="s">
        <v>44</v>
      </c>
      <c r="E279" s="62"/>
      <c r="F279" s="103" t="s">
        <v>4</v>
      </c>
      <c r="G279" s="104">
        <f>SUM(G280:G282)</f>
        <v>400000</v>
      </c>
      <c r="H279" s="105" t="s">
        <v>4</v>
      </c>
      <c r="I279" s="104"/>
      <c r="J279" s="106" t="s">
        <v>4</v>
      </c>
      <c r="K279" s="104"/>
      <c r="L279" s="106" t="s">
        <v>4</v>
      </c>
      <c r="M279" s="104">
        <f>SUM(M280:M282)</f>
        <v>0</v>
      </c>
      <c r="N279" s="106" t="s">
        <v>4</v>
      </c>
      <c r="O279" s="104">
        <f>SUM(O280:O282)</f>
        <v>0</v>
      </c>
      <c r="P279" s="27"/>
      <c r="Q279" s="27"/>
      <c r="R279" s="28"/>
      <c r="S279" s="28"/>
    </row>
    <row r="280" spans="1:19" s="29" customFormat="1" ht="15" customHeight="1" x14ac:dyDescent="0.15">
      <c r="A280" s="132"/>
      <c r="B280" s="156"/>
      <c r="C280" s="136"/>
      <c r="D280" s="57" t="s">
        <v>45</v>
      </c>
      <c r="E280" s="58"/>
      <c r="F280" s="120" t="s">
        <v>5</v>
      </c>
      <c r="G280" s="121"/>
      <c r="H280" s="120" t="s">
        <v>5</v>
      </c>
      <c r="I280" s="121"/>
      <c r="J280" s="122" t="s">
        <v>5</v>
      </c>
      <c r="K280" s="123"/>
      <c r="L280" s="122" t="s">
        <v>5</v>
      </c>
      <c r="M280" s="123"/>
      <c r="N280" s="111" t="s">
        <v>5</v>
      </c>
      <c r="O280" s="112">
        <f>I280-K280-M280</f>
        <v>0</v>
      </c>
      <c r="P280" s="27"/>
      <c r="Q280" s="27"/>
      <c r="R280" s="28"/>
      <c r="S280" s="28"/>
    </row>
    <row r="281" spans="1:19" s="29" customFormat="1" ht="15" customHeight="1" x14ac:dyDescent="0.15">
      <c r="A281" s="132" t="s">
        <v>140</v>
      </c>
      <c r="B281" s="156" t="s">
        <v>110</v>
      </c>
      <c r="C281" s="136"/>
      <c r="D281" s="57" t="s">
        <v>46</v>
      </c>
      <c r="E281" s="58"/>
      <c r="F281" s="124" t="s">
        <v>17</v>
      </c>
      <c r="G281" s="121">
        <v>400000</v>
      </c>
      <c r="H281" s="120" t="s">
        <v>17</v>
      </c>
      <c r="I281" s="121"/>
      <c r="J281" s="122" t="s">
        <v>17</v>
      </c>
      <c r="K281" s="123"/>
      <c r="L281" s="122" t="s">
        <v>17</v>
      </c>
      <c r="M281" s="123"/>
      <c r="N281" s="111" t="s">
        <v>17</v>
      </c>
      <c r="O281" s="112">
        <f>I281-K281-M281</f>
        <v>0</v>
      </c>
      <c r="P281" s="27"/>
      <c r="Q281" s="27"/>
      <c r="R281" s="28"/>
      <c r="S281" s="28"/>
    </row>
    <row r="282" spans="1:19" s="29" customFormat="1" ht="15" customHeight="1" x14ac:dyDescent="0.15">
      <c r="A282" s="132"/>
      <c r="B282" s="158"/>
      <c r="C282" s="137"/>
      <c r="D282" s="59" t="s">
        <v>47</v>
      </c>
      <c r="E282" s="60"/>
      <c r="F282" s="125" t="s">
        <v>18</v>
      </c>
      <c r="G282" s="126"/>
      <c r="H282" s="125" t="s">
        <v>18</v>
      </c>
      <c r="I282" s="126"/>
      <c r="J282" s="127" t="s">
        <v>18</v>
      </c>
      <c r="K282" s="128"/>
      <c r="L282" s="127" t="s">
        <v>18</v>
      </c>
      <c r="M282" s="128"/>
      <c r="N282" s="118" t="s">
        <v>18</v>
      </c>
      <c r="O282" s="119">
        <f>I282-K282-M282</f>
        <v>0</v>
      </c>
      <c r="P282" s="27"/>
      <c r="Q282" s="27"/>
      <c r="R282" s="28"/>
      <c r="S282" s="28"/>
    </row>
    <row r="283" spans="1:19" s="29" customFormat="1" ht="15" customHeight="1" x14ac:dyDescent="0.15">
      <c r="A283" s="159" t="s">
        <v>12</v>
      </c>
      <c r="B283" s="157" t="s">
        <v>109</v>
      </c>
      <c r="C283" s="135"/>
      <c r="D283" s="61" t="s">
        <v>44</v>
      </c>
      <c r="E283" s="62"/>
      <c r="F283" s="103" t="s">
        <v>4</v>
      </c>
      <c r="G283" s="104">
        <f>SUM(G284:G286)</f>
        <v>900000</v>
      </c>
      <c r="H283" s="105" t="s">
        <v>4</v>
      </c>
      <c r="I283" s="104"/>
      <c r="J283" s="106" t="s">
        <v>4</v>
      </c>
      <c r="K283" s="104"/>
      <c r="L283" s="106" t="s">
        <v>4</v>
      </c>
      <c r="M283" s="104">
        <f>SUM(M284:M286)</f>
        <v>0</v>
      </c>
      <c r="N283" s="106" t="s">
        <v>4</v>
      </c>
      <c r="O283" s="104">
        <f>SUM(O284:O286)</f>
        <v>0</v>
      </c>
      <c r="P283" s="27"/>
      <c r="Q283" s="27"/>
      <c r="R283" s="28"/>
      <c r="S283" s="28"/>
    </row>
    <row r="284" spans="1:19" s="29" customFormat="1" ht="15" customHeight="1" x14ac:dyDescent="0.15">
      <c r="A284" s="132"/>
      <c r="B284" s="156"/>
      <c r="C284" s="136"/>
      <c r="D284" s="57" t="s">
        <v>45</v>
      </c>
      <c r="E284" s="58"/>
      <c r="F284" s="120" t="s">
        <v>5</v>
      </c>
      <c r="G284" s="121"/>
      <c r="H284" s="120" t="s">
        <v>5</v>
      </c>
      <c r="I284" s="121"/>
      <c r="J284" s="122" t="s">
        <v>5</v>
      </c>
      <c r="K284" s="123"/>
      <c r="L284" s="122" t="s">
        <v>5</v>
      </c>
      <c r="M284" s="123"/>
      <c r="N284" s="111" t="s">
        <v>5</v>
      </c>
      <c r="O284" s="112">
        <f>I284-K284-M284</f>
        <v>0</v>
      </c>
      <c r="P284" s="27"/>
      <c r="Q284" s="27"/>
      <c r="R284" s="28"/>
      <c r="S284" s="28"/>
    </row>
    <row r="285" spans="1:19" s="29" customFormat="1" ht="15" customHeight="1" x14ac:dyDescent="0.15">
      <c r="A285" s="132" t="s">
        <v>141</v>
      </c>
      <c r="B285" s="156" t="s">
        <v>110</v>
      </c>
      <c r="C285" s="136"/>
      <c r="D285" s="57" t="s">
        <v>46</v>
      </c>
      <c r="E285" s="58"/>
      <c r="F285" s="124" t="s">
        <v>17</v>
      </c>
      <c r="G285" s="121">
        <v>900000</v>
      </c>
      <c r="H285" s="120" t="s">
        <v>17</v>
      </c>
      <c r="I285" s="121"/>
      <c r="J285" s="122" t="s">
        <v>17</v>
      </c>
      <c r="K285" s="123"/>
      <c r="L285" s="122" t="s">
        <v>17</v>
      </c>
      <c r="M285" s="123"/>
      <c r="N285" s="111" t="s">
        <v>17</v>
      </c>
      <c r="O285" s="112">
        <f>I285-K285-M285</f>
        <v>0</v>
      </c>
      <c r="P285" s="27"/>
      <c r="Q285" s="27"/>
      <c r="R285" s="28"/>
      <c r="S285" s="28"/>
    </row>
    <row r="286" spans="1:19" s="29" customFormat="1" ht="15" customHeight="1" x14ac:dyDescent="0.15">
      <c r="A286" s="132"/>
      <c r="B286" s="158"/>
      <c r="C286" s="137"/>
      <c r="D286" s="59" t="s">
        <v>47</v>
      </c>
      <c r="E286" s="60"/>
      <c r="F286" s="125" t="s">
        <v>18</v>
      </c>
      <c r="G286" s="126"/>
      <c r="H286" s="125" t="s">
        <v>18</v>
      </c>
      <c r="I286" s="126"/>
      <c r="J286" s="127" t="s">
        <v>18</v>
      </c>
      <c r="K286" s="128"/>
      <c r="L286" s="127" t="s">
        <v>18</v>
      </c>
      <c r="M286" s="128"/>
      <c r="N286" s="118" t="s">
        <v>18</v>
      </c>
      <c r="O286" s="119">
        <f>I286-K286-M286</f>
        <v>0</v>
      </c>
      <c r="P286" s="27"/>
      <c r="Q286" s="27"/>
      <c r="R286" s="28"/>
      <c r="S286" s="28"/>
    </row>
    <row r="287" spans="1:19" s="29" customFormat="1" ht="15" customHeight="1" x14ac:dyDescent="0.15">
      <c r="A287" s="159" t="s">
        <v>12</v>
      </c>
      <c r="B287" s="157" t="s">
        <v>111</v>
      </c>
      <c r="C287" s="135"/>
      <c r="D287" s="61" t="s">
        <v>44</v>
      </c>
      <c r="E287" s="62"/>
      <c r="F287" s="103" t="s">
        <v>4</v>
      </c>
      <c r="G287" s="104">
        <f>SUM(G288:G290)</f>
        <v>16280000</v>
      </c>
      <c r="H287" s="105" t="s">
        <v>4</v>
      </c>
      <c r="I287" s="104"/>
      <c r="J287" s="106" t="s">
        <v>4</v>
      </c>
      <c r="K287" s="104"/>
      <c r="L287" s="106" t="s">
        <v>4</v>
      </c>
      <c r="M287" s="104">
        <f>SUM(M288:M290)</f>
        <v>0</v>
      </c>
      <c r="N287" s="106" t="s">
        <v>4</v>
      </c>
      <c r="O287" s="104">
        <f>SUM(O288:O290)</f>
        <v>0</v>
      </c>
      <c r="P287" s="27"/>
      <c r="Q287" s="27"/>
      <c r="R287" s="28"/>
      <c r="S287" s="28"/>
    </row>
    <row r="288" spans="1:19" s="29" customFormat="1" ht="15" customHeight="1" x14ac:dyDescent="0.15">
      <c r="A288" s="132"/>
      <c r="B288" s="156"/>
      <c r="C288" s="136"/>
      <c r="D288" s="57" t="s">
        <v>45</v>
      </c>
      <c r="E288" s="58"/>
      <c r="F288" s="120" t="s">
        <v>5</v>
      </c>
      <c r="G288" s="121"/>
      <c r="H288" s="120" t="s">
        <v>5</v>
      </c>
      <c r="I288" s="121"/>
      <c r="J288" s="122" t="s">
        <v>5</v>
      </c>
      <c r="K288" s="121"/>
      <c r="L288" s="122" t="s">
        <v>5</v>
      </c>
      <c r="M288" s="123"/>
      <c r="N288" s="111" t="s">
        <v>5</v>
      </c>
      <c r="O288" s="112">
        <f>I288-K288-M288</f>
        <v>0</v>
      </c>
      <c r="P288" s="27"/>
      <c r="Q288" s="27"/>
      <c r="R288" s="28"/>
      <c r="S288" s="28"/>
    </row>
    <row r="289" spans="1:19" s="29" customFormat="1" ht="15" customHeight="1" x14ac:dyDescent="0.15">
      <c r="A289" s="132" t="s">
        <v>142</v>
      </c>
      <c r="B289" s="156" t="s">
        <v>114</v>
      </c>
      <c r="C289" s="136"/>
      <c r="D289" s="57" t="s">
        <v>46</v>
      </c>
      <c r="E289" s="58"/>
      <c r="F289" s="124" t="s">
        <v>17</v>
      </c>
      <c r="G289" s="121">
        <v>16280000</v>
      </c>
      <c r="H289" s="120" t="s">
        <v>17</v>
      </c>
      <c r="I289" s="121"/>
      <c r="J289" s="122" t="s">
        <v>17</v>
      </c>
      <c r="K289" s="121"/>
      <c r="L289" s="122" t="s">
        <v>17</v>
      </c>
      <c r="M289" s="123"/>
      <c r="N289" s="111" t="s">
        <v>17</v>
      </c>
      <c r="O289" s="112">
        <f>I289-K289-M289</f>
        <v>0</v>
      </c>
      <c r="P289" s="27"/>
      <c r="Q289" s="27"/>
      <c r="R289" s="28"/>
      <c r="S289" s="28"/>
    </row>
    <row r="290" spans="1:19" s="29" customFormat="1" ht="15" customHeight="1" x14ac:dyDescent="0.15">
      <c r="A290" s="132"/>
      <c r="B290" s="158"/>
      <c r="C290" s="137"/>
      <c r="D290" s="59" t="s">
        <v>47</v>
      </c>
      <c r="E290" s="60"/>
      <c r="F290" s="125" t="s">
        <v>18</v>
      </c>
      <c r="G290" s="126"/>
      <c r="H290" s="125" t="s">
        <v>18</v>
      </c>
      <c r="I290" s="126"/>
      <c r="J290" s="127" t="s">
        <v>18</v>
      </c>
      <c r="K290" s="128"/>
      <c r="L290" s="127" t="s">
        <v>18</v>
      </c>
      <c r="M290" s="128"/>
      <c r="N290" s="118" t="s">
        <v>18</v>
      </c>
      <c r="O290" s="119">
        <f>I290-K290-M290</f>
        <v>0</v>
      </c>
      <c r="P290" s="27"/>
      <c r="Q290" s="27"/>
      <c r="R290" s="28"/>
      <c r="S290" s="28"/>
    </row>
    <row r="291" spans="1:19" s="29" customFormat="1" ht="15" customHeight="1" x14ac:dyDescent="0.15">
      <c r="A291" s="132" t="s">
        <v>12</v>
      </c>
      <c r="B291" s="139" t="s">
        <v>109</v>
      </c>
      <c r="C291" s="135"/>
      <c r="D291" s="61" t="s">
        <v>44</v>
      </c>
      <c r="E291" s="62"/>
      <c r="F291" s="103" t="s">
        <v>4</v>
      </c>
      <c r="G291" s="104">
        <f>SUM(G292:G294)</f>
        <v>180305000</v>
      </c>
      <c r="H291" s="105" t="s">
        <v>4</v>
      </c>
      <c r="I291" s="104"/>
      <c r="J291" s="106" t="s">
        <v>4</v>
      </c>
      <c r="K291" s="104"/>
      <c r="L291" s="106" t="s">
        <v>4</v>
      </c>
      <c r="M291" s="104">
        <f>SUM(M292:M294)</f>
        <v>0</v>
      </c>
      <c r="N291" s="106" t="s">
        <v>4</v>
      </c>
      <c r="O291" s="104">
        <f>SUM(O292:O294)</f>
        <v>0</v>
      </c>
      <c r="P291" s="27"/>
      <c r="Q291" s="27"/>
      <c r="R291" s="28"/>
      <c r="S291" s="28"/>
    </row>
    <row r="292" spans="1:19" s="29" customFormat="1" ht="15" customHeight="1" x14ac:dyDescent="0.15">
      <c r="A292" s="132"/>
      <c r="B292" s="134"/>
      <c r="C292" s="136"/>
      <c r="D292" s="57" t="s">
        <v>45</v>
      </c>
      <c r="E292" s="58"/>
      <c r="F292" s="120" t="s">
        <v>5</v>
      </c>
      <c r="G292" s="121">
        <v>72122000</v>
      </c>
      <c r="H292" s="120" t="s">
        <v>5</v>
      </c>
      <c r="I292" s="121"/>
      <c r="J292" s="122" t="s">
        <v>5</v>
      </c>
      <c r="K292" s="123"/>
      <c r="L292" s="122" t="s">
        <v>5</v>
      </c>
      <c r="M292" s="123"/>
      <c r="N292" s="111" t="s">
        <v>5</v>
      </c>
      <c r="O292" s="112">
        <f>I292-K292-M292</f>
        <v>0</v>
      </c>
      <c r="P292" s="27"/>
      <c r="Q292" s="27"/>
      <c r="R292" s="28"/>
      <c r="S292" s="28"/>
    </row>
    <row r="293" spans="1:19" s="29" customFormat="1" ht="15" customHeight="1" x14ac:dyDescent="0.15">
      <c r="A293" s="132" t="s">
        <v>143</v>
      </c>
      <c r="B293" s="134" t="s">
        <v>110</v>
      </c>
      <c r="C293" s="136"/>
      <c r="D293" s="57" t="s">
        <v>46</v>
      </c>
      <c r="E293" s="58"/>
      <c r="F293" s="124" t="s">
        <v>17</v>
      </c>
      <c r="G293" s="121">
        <v>108183000</v>
      </c>
      <c r="H293" s="120" t="s">
        <v>17</v>
      </c>
      <c r="I293" s="121"/>
      <c r="J293" s="122" t="s">
        <v>17</v>
      </c>
      <c r="K293" s="123"/>
      <c r="L293" s="122" t="s">
        <v>17</v>
      </c>
      <c r="M293" s="123"/>
      <c r="N293" s="111" t="s">
        <v>17</v>
      </c>
      <c r="O293" s="112">
        <f>I293-K293-M293</f>
        <v>0</v>
      </c>
      <c r="P293" s="27"/>
      <c r="Q293" s="27"/>
      <c r="R293" s="28"/>
      <c r="S293" s="28"/>
    </row>
    <row r="294" spans="1:19" s="29" customFormat="1" ht="15" customHeight="1" x14ac:dyDescent="0.15">
      <c r="A294" s="132"/>
      <c r="B294" s="138"/>
      <c r="C294" s="136"/>
      <c r="D294" s="59" t="s">
        <v>47</v>
      </c>
      <c r="E294" s="60"/>
      <c r="F294" s="125" t="s">
        <v>18</v>
      </c>
      <c r="G294" s="126"/>
      <c r="H294" s="125" t="s">
        <v>18</v>
      </c>
      <c r="I294" s="126"/>
      <c r="J294" s="127" t="s">
        <v>18</v>
      </c>
      <c r="K294" s="128"/>
      <c r="L294" s="127" t="s">
        <v>18</v>
      </c>
      <c r="M294" s="128"/>
      <c r="N294" s="118" t="s">
        <v>18</v>
      </c>
      <c r="O294" s="119">
        <f>I294-K294-M294</f>
        <v>0</v>
      </c>
      <c r="P294" s="27"/>
      <c r="Q294" s="27"/>
      <c r="R294" s="28"/>
      <c r="S294" s="28"/>
    </row>
    <row r="295" spans="1:19" s="29" customFormat="1" ht="15" customHeight="1" x14ac:dyDescent="0.15">
      <c r="A295" s="132" t="s">
        <v>12</v>
      </c>
      <c r="B295" s="139" t="s">
        <v>109</v>
      </c>
      <c r="C295" s="135"/>
      <c r="D295" s="61" t="s">
        <v>44</v>
      </c>
      <c r="E295" s="62"/>
      <c r="F295" s="103" t="s">
        <v>4</v>
      </c>
      <c r="G295" s="104">
        <f>SUM(G296:G298)</f>
        <v>14300000</v>
      </c>
      <c r="H295" s="105" t="s">
        <v>4</v>
      </c>
      <c r="I295" s="104"/>
      <c r="J295" s="106" t="s">
        <v>4</v>
      </c>
      <c r="K295" s="104"/>
      <c r="L295" s="106" t="s">
        <v>4</v>
      </c>
      <c r="M295" s="104">
        <f>SUM(M296:M298)</f>
        <v>0</v>
      </c>
      <c r="N295" s="106" t="s">
        <v>4</v>
      </c>
      <c r="O295" s="104">
        <f>SUM(O296:O298)</f>
        <v>0</v>
      </c>
      <c r="P295" s="27"/>
      <c r="Q295" s="27"/>
      <c r="R295" s="28"/>
      <c r="S295" s="28"/>
    </row>
    <row r="296" spans="1:19" s="29" customFormat="1" ht="15" customHeight="1" x14ac:dyDescent="0.15">
      <c r="A296" s="132"/>
      <c r="B296" s="134"/>
      <c r="C296" s="136"/>
      <c r="D296" s="57" t="s">
        <v>45</v>
      </c>
      <c r="E296" s="58"/>
      <c r="F296" s="120" t="s">
        <v>5</v>
      </c>
      <c r="G296" s="121"/>
      <c r="H296" s="120" t="s">
        <v>5</v>
      </c>
      <c r="I296" s="121"/>
      <c r="J296" s="122" t="s">
        <v>5</v>
      </c>
      <c r="K296" s="123"/>
      <c r="L296" s="122" t="s">
        <v>5</v>
      </c>
      <c r="M296" s="123"/>
      <c r="N296" s="111" t="s">
        <v>5</v>
      </c>
      <c r="O296" s="112">
        <f>I296-K296-M296</f>
        <v>0</v>
      </c>
      <c r="P296" s="27"/>
      <c r="Q296" s="27"/>
      <c r="R296" s="28"/>
      <c r="S296" s="28"/>
    </row>
    <row r="297" spans="1:19" s="29" customFormat="1" ht="15" customHeight="1" x14ac:dyDescent="0.15">
      <c r="A297" s="132" t="s">
        <v>144</v>
      </c>
      <c r="B297" s="134" t="s">
        <v>110</v>
      </c>
      <c r="C297" s="136"/>
      <c r="D297" s="57" t="s">
        <v>46</v>
      </c>
      <c r="E297" s="58"/>
      <c r="F297" s="124" t="s">
        <v>17</v>
      </c>
      <c r="G297" s="121">
        <v>14300000</v>
      </c>
      <c r="H297" s="120" t="s">
        <v>17</v>
      </c>
      <c r="I297" s="121"/>
      <c r="J297" s="122" t="s">
        <v>17</v>
      </c>
      <c r="K297" s="123"/>
      <c r="L297" s="122" t="s">
        <v>17</v>
      </c>
      <c r="M297" s="123"/>
      <c r="N297" s="111" t="s">
        <v>17</v>
      </c>
      <c r="O297" s="112">
        <f>I297-K297-M297</f>
        <v>0</v>
      </c>
      <c r="P297" s="27"/>
      <c r="Q297" s="27"/>
      <c r="R297" s="28"/>
      <c r="S297" s="28"/>
    </row>
    <row r="298" spans="1:19" s="29" customFormat="1" ht="15" customHeight="1" x14ac:dyDescent="0.15">
      <c r="A298" s="132"/>
      <c r="B298" s="138"/>
      <c r="C298" s="136"/>
      <c r="D298" s="59" t="s">
        <v>47</v>
      </c>
      <c r="E298" s="60"/>
      <c r="F298" s="125" t="s">
        <v>18</v>
      </c>
      <c r="G298" s="126"/>
      <c r="H298" s="125" t="s">
        <v>18</v>
      </c>
      <c r="I298" s="126"/>
      <c r="J298" s="127" t="s">
        <v>18</v>
      </c>
      <c r="K298" s="128"/>
      <c r="L298" s="127" t="s">
        <v>18</v>
      </c>
      <c r="M298" s="128"/>
      <c r="N298" s="118" t="s">
        <v>18</v>
      </c>
      <c r="O298" s="119">
        <f>I298-K298-M298</f>
        <v>0</v>
      </c>
      <c r="P298" s="27"/>
      <c r="Q298" s="27"/>
      <c r="R298" s="28"/>
      <c r="S298" s="28"/>
    </row>
    <row r="299" spans="1:19" s="29" customFormat="1" ht="15" customHeight="1" x14ac:dyDescent="0.15">
      <c r="A299" s="132" t="s">
        <v>12</v>
      </c>
      <c r="B299" s="139" t="s">
        <v>111</v>
      </c>
      <c r="C299" s="135"/>
      <c r="D299" s="61" t="s">
        <v>44</v>
      </c>
      <c r="E299" s="62"/>
      <c r="F299" s="103" t="s">
        <v>4</v>
      </c>
      <c r="G299" s="104">
        <f>SUM(G300:G302)</f>
        <v>6580000</v>
      </c>
      <c r="H299" s="105" t="s">
        <v>4</v>
      </c>
      <c r="I299" s="104"/>
      <c r="J299" s="106" t="s">
        <v>4</v>
      </c>
      <c r="K299" s="104"/>
      <c r="L299" s="106" t="s">
        <v>4</v>
      </c>
      <c r="M299" s="104">
        <f>SUM(M300:M302)</f>
        <v>0</v>
      </c>
      <c r="N299" s="106" t="s">
        <v>4</v>
      </c>
      <c r="O299" s="104">
        <f>SUM(O300:O302)</f>
        <v>0</v>
      </c>
      <c r="P299" s="27"/>
      <c r="Q299" s="27"/>
      <c r="R299" s="28"/>
      <c r="S299" s="28"/>
    </row>
    <row r="300" spans="1:19" s="29" customFormat="1" ht="15" customHeight="1" x14ac:dyDescent="0.15">
      <c r="A300" s="132"/>
      <c r="B300" s="134"/>
      <c r="C300" s="136"/>
      <c r="D300" s="57" t="s">
        <v>45</v>
      </c>
      <c r="E300" s="58"/>
      <c r="F300" s="120" t="s">
        <v>5</v>
      </c>
      <c r="G300" s="121"/>
      <c r="H300" s="120" t="s">
        <v>5</v>
      </c>
      <c r="I300" s="121"/>
      <c r="J300" s="122" t="s">
        <v>5</v>
      </c>
      <c r="K300" s="123"/>
      <c r="L300" s="122" t="s">
        <v>5</v>
      </c>
      <c r="M300" s="123"/>
      <c r="N300" s="111" t="s">
        <v>5</v>
      </c>
      <c r="O300" s="112">
        <f>I300-K300-M300</f>
        <v>0</v>
      </c>
      <c r="P300" s="27"/>
      <c r="Q300" s="27"/>
      <c r="R300" s="28"/>
      <c r="S300" s="28"/>
    </row>
    <row r="301" spans="1:19" s="29" customFormat="1" ht="15" customHeight="1" x14ac:dyDescent="0.15">
      <c r="A301" s="132" t="s">
        <v>144</v>
      </c>
      <c r="B301" s="134" t="s">
        <v>114</v>
      </c>
      <c r="C301" s="136"/>
      <c r="D301" s="57" t="s">
        <v>46</v>
      </c>
      <c r="E301" s="58"/>
      <c r="F301" s="124" t="s">
        <v>17</v>
      </c>
      <c r="G301" s="121">
        <v>6580000</v>
      </c>
      <c r="H301" s="120" t="s">
        <v>17</v>
      </c>
      <c r="I301" s="121"/>
      <c r="J301" s="122" t="s">
        <v>17</v>
      </c>
      <c r="K301" s="123"/>
      <c r="L301" s="122" t="s">
        <v>17</v>
      </c>
      <c r="M301" s="123"/>
      <c r="N301" s="111" t="s">
        <v>17</v>
      </c>
      <c r="O301" s="112">
        <f>I301-K301-M301</f>
        <v>0</v>
      </c>
      <c r="P301" s="27"/>
      <c r="Q301" s="27"/>
      <c r="R301" s="28"/>
      <c r="S301" s="28"/>
    </row>
    <row r="302" spans="1:19" s="29" customFormat="1" ht="15" customHeight="1" x14ac:dyDescent="0.15">
      <c r="A302" s="132"/>
      <c r="B302" s="138"/>
      <c r="C302" s="136"/>
      <c r="D302" s="59" t="s">
        <v>47</v>
      </c>
      <c r="E302" s="60"/>
      <c r="F302" s="125" t="s">
        <v>18</v>
      </c>
      <c r="G302" s="126"/>
      <c r="H302" s="125" t="s">
        <v>18</v>
      </c>
      <c r="I302" s="126"/>
      <c r="J302" s="127" t="s">
        <v>18</v>
      </c>
      <c r="K302" s="128"/>
      <c r="L302" s="127" t="s">
        <v>18</v>
      </c>
      <c r="M302" s="128"/>
      <c r="N302" s="118" t="s">
        <v>18</v>
      </c>
      <c r="O302" s="119">
        <f>I302-K302-M302</f>
        <v>0</v>
      </c>
      <c r="P302" s="27"/>
      <c r="Q302" s="27"/>
      <c r="R302" s="28"/>
      <c r="S302" s="28"/>
    </row>
    <row r="303" spans="1:19" s="29" customFormat="1" ht="15" customHeight="1" x14ac:dyDescent="0.15">
      <c r="A303" s="132" t="s">
        <v>12</v>
      </c>
      <c r="B303" s="139" t="s">
        <v>73</v>
      </c>
      <c r="C303" s="135"/>
      <c r="D303" s="61" t="s">
        <v>44</v>
      </c>
      <c r="E303" s="62"/>
      <c r="F303" s="103" t="s">
        <v>4</v>
      </c>
      <c r="G303" s="104">
        <f>SUM(G304:G306)</f>
        <v>1166880000</v>
      </c>
      <c r="H303" s="105" t="s">
        <v>4</v>
      </c>
      <c r="I303" s="104"/>
      <c r="J303" s="106" t="s">
        <v>4</v>
      </c>
      <c r="K303" s="104"/>
      <c r="L303" s="106" t="s">
        <v>4</v>
      </c>
      <c r="M303" s="104">
        <f>SUM(M304:M306)</f>
        <v>0</v>
      </c>
      <c r="N303" s="106" t="s">
        <v>4</v>
      </c>
      <c r="O303" s="104">
        <f>SUM(O304:O306)</f>
        <v>0</v>
      </c>
      <c r="P303" s="27"/>
      <c r="Q303" s="27"/>
      <c r="R303" s="28"/>
      <c r="S303" s="28"/>
    </row>
    <row r="304" spans="1:19" s="29" customFormat="1" ht="15" customHeight="1" x14ac:dyDescent="0.15">
      <c r="A304" s="132"/>
      <c r="B304" s="134"/>
      <c r="C304" s="136"/>
      <c r="D304" s="57" t="s">
        <v>45</v>
      </c>
      <c r="E304" s="58"/>
      <c r="F304" s="120" t="s">
        <v>5</v>
      </c>
      <c r="G304" s="121">
        <v>583440000</v>
      </c>
      <c r="H304" s="120" t="s">
        <v>5</v>
      </c>
      <c r="I304" s="121"/>
      <c r="J304" s="122" t="s">
        <v>5</v>
      </c>
      <c r="K304" s="123"/>
      <c r="L304" s="122" t="s">
        <v>5</v>
      </c>
      <c r="M304" s="123"/>
      <c r="N304" s="111" t="s">
        <v>5</v>
      </c>
      <c r="O304" s="112">
        <f>I304-K304-M304</f>
        <v>0</v>
      </c>
      <c r="P304" s="27"/>
      <c r="Q304" s="27"/>
      <c r="R304" s="28"/>
      <c r="S304" s="28"/>
    </row>
    <row r="305" spans="1:19" s="29" customFormat="1" ht="15" customHeight="1" x14ac:dyDescent="0.15">
      <c r="A305" s="132" t="s">
        <v>145</v>
      </c>
      <c r="B305" s="134" t="s">
        <v>74</v>
      </c>
      <c r="C305" s="136"/>
      <c r="D305" s="57" t="s">
        <v>46</v>
      </c>
      <c r="E305" s="58"/>
      <c r="F305" s="124" t="s">
        <v>17</v>
      </c>
      <c r="G305" s="121">
        <v>583440000</v>
      </c>
      <c r="H305" s="120" t="s">
        <v>17</v>
      </c>
      <c r="I305" s="121"/>
      <c r="J305" s="122" t="s">
        <v>17</v>
      </c>
      <c r="K305" s="123"/>
      <c r="L305" s="122" t="s">
        <v>17</v>
      </c>
      <c r="M305" s="123"/>
      <c r="N305" s="111" t="s">
        <v>17</v>
      </c>
      <c r="O305" s="112">
        <f>I305-K305-M305</f>
        <v>0</v>
      </c>
      <c r="P305" s="27"/>
      <c r="Q305" s="27"/>
      <c r="R305" s="28"/>
      <c r="S305" s="28"/>
    </row>
    <row r="306" spans="1:19" s="29" customFormat="1" ht="15" customHeight="1" x14ac:dyDescent="0.15">
      <c r="A306" s="132"/>
      <c r="B306" s="138"/>
      <c r="C306" s="136"/>
      <c r="D306" s="59" t="s">
        <v>47</v>
      </c>
      <c r="E306" s="60"/>
      <c r="F306" s="125" t="s">
        <v>18</v>
      </c>
      <c r="G306" s="126"/>
      <c r="H306" s="125" t="s">
        <v>18</v>
      </c>
      <c r="I306" s="126"/>
      <c r="J306" s="127" t="s">
        <v>18</v>
      </c>
      <c r="K306" s="128"/>
      <c r="L306" s="127" t="s">
        <v>18</v>
      </c>
      <c r="M306" s="128"/>
      <c r="N306" s="118" t="s">
        <v>18</v>
      </c>
      <c r="O306" s="119">
        <f>I306-K306-M306</f>
        <v>0</v>
      </c>
      <c r="P306" s="27"/>
      <c r="Q306" s="27"/>
      <c r="R306" s="28"/>
      <c r="S306" s="28"/>
    </row>
    <row r="307" spans="1:19" s="29" customFormat="1" ht="15" customHeight="1" x14ac:dyDescent="0.15">
      <c r="A307" s="132" t="s">
        <v>12</v>
      </c>
      <c r="B307" s="139" t="s">
        <v>73</v>
      </c>
      <c r="C307" s="135"/>
      <c r="D307" s="61" t="s">
        <v>44</v>
      </c>
      <c r="E307" s="62"/>
      <c r="F307" s="103" t="s">
        <v>4</v>
      </c>
      <c r="G307" s="104">
        <f>SUM(G308:G310)</f>
        <v>60864000</v>
      </c>
      <c r="H307" s="105" t="s">
        <v>4</v>
      </c>
      <c r="I307" s="104"/>
      <c r="J307" s="106" t="s">
        <v>4</v>
      </c>
      <c r="K307" s="104"/>
      <c r="L307" s="106" t="s">
        <v>4</v>
      </c>
      <c r="M307" s="104">
        <f>SUM(M308:M310)</f>
        <v>0</v>
      </c>
      <c r="N307" s="106" t="s">
        <v>4</v>
      </c>
      <c r="O307" s="104">
        <f>SUM(O308:O310)</f>
        <v>0</v>
      </c>
      <c r="P307" s="27"/>
      <c r="Q307" s="27"/>
      <c r="R307" s="28"/>
      <c r="S307" s="28"/>
    </row>
    <row r="308" spans="1:19" s="29" customFormat="1" ht="15" customHeight="1" x14ac:dyDescent="0.15">
      <c r="A308" s="132"/>
      <c r="B308" s="134"/>
      <c r="C308" s="136"/>
      <c r="D308" s="57" t="s">
        <v>45</v>
      </c>
      <c r="E308" s="58"/>
      <c r="F308" s="120" t="s">
        <v>5</v>
      </c>
      <c r="G308" s="121">
        <v>30432000</v>
      </c>
      <c r="H308" s="120" t="s">
        <v>5</v>
      </c>
      <c r="I308" s="121"/>
      <c r="J308" s="122" t="s">
        <v>5</v>
      </c>
      <c r="K308" s="123"/>
      <c r="L308" s="122" t="s">
        <v>5</v>
      </c>
      <c r="M308" s="123"/>
      <c r="N308" s="111" t="s">
        <v>5</v>
      </c>
      <c r="O308" s="112">
        <f>I308-K308-M308</f>
        <v>0</v>
      </c>
      <c r="P308" s="27"/>
      <c r="Q308" s="27"/>
      <c r="R308" s="28"/>
      <c r="S308" s="28"/>
    </row>
    <row r="309" spans="1:19" s="29" customFormat="1" ht="15" customHeight="1" x14ac:dyDescent="0.15">
      <c r="A309" s="132" t="s">
        <v>146</v>
      </c>
      <c r="B309" s="134" t="s">
        <v>74</v>
      </c>
      <c r="C309" s="136"/>
      <c r="D309" s="57" t="s">
        <v>46</v>
      </c>
      <c r="E309" s="58"/>
      <c r="F309" s="124" t="s">
        <v>17</v>
      </c>
      <c r="G309" s="121">
        <v>30432000</v>
      </c>
      <c r="H309" s="120" t="s">
        <v>17</v>
      </c>
      <c r="I309" s="121"/>
      <c r="J309" s="122" t="s">
        <v>17</v>
      </c>
      <c r="K309" s="123"/>
      <c r="L309" s="122" t="s">
        <v>17</v>
      </c>
      <c r="M309" s="123"/>
      <c r="N309" s="111" t="s">
        <v>17</v>
      </c>
      <c r="O309" s="112">
        <f>I309-K309-M309</f>
        <v>0</v>
      </c>
      <c r="P309" s="27"/>
      <c r="Q309" s="27"/>
      <c r="R309" s="28"/>
      <c r="S309" s="28"/>
    </row>
    <row r="310" spans="1:19" s="29" customFormat="1" ht="15" customHeight="1" x14ac:dyDescent="0.15">
      <c r="A310" s="132"/>
      <c r="B310" s="138"/>
      <c r="C310" s="136"/>
      <c r="D310" s="59" t="s">
        <v>47</v>
      </c>
      <c r="E310" s="60"/>
      <c r="F310" s="125" t="s">
        <v>18</v>
      </c>
      <c r="G310" s="126"/>
      <c r="H310" s="125" t="s">
        <v>18</v>
      </c>
      <c r="I310" s="126"/>
      <c r="J310" s="127" t="s">
        <v>18</v>
      </c>
      <c r="K310" s="128"/>
      <c r="L310" s="127" t="s">
        <v>18</v>
      </c>
      <c r="M310" s="128"/>
      <c r="N310" s="118" t="s">
        <v>18</v>
      </c>
      <c r="O310" s="119">
        <f>I310-K310-M310</f>
        <v>0</v>
      </c>
      <c r="P310" s="27"/>
      <c r="Q310" s="27"/>
      <c r="R310" s="28"/>
      <c r="S310" s="28"/>
    </row>
    <row r="311" spans="1:19" s="29" customFormat="1" ht="15" customHeight="1" x14ac:dyDescent="0.15">
      <c r="A311" s="132" t="s">
        <v>12</v>
      </c>
      <c r="B311" s="139" t="s">
        <v>73</v>
      </c>
      <c r="C311" s="135"/>
      <c r="D311" s="61" t="s">
        <v>44</v>
      </c>
      <c r="E311" s="62"/>
      <c r="F311" s="103" t="s">
        <v>4</v>
      </c>
      <c r="G311" s="104">
        <f>SUM(G312:G314)</f>
        <v>101300000</v>
      </c>
      <c r="H311" s="105" t="s">
        <v>4</v>
      </c>
      <c r="I311" s="104"/>
      <c r="J311" s="106" t="s">
        <v>4</v>
      </c>
      <c r="K311" s="104"/>
      <c r="L311" s="106" t="s">
        <v>4</v>
      </c>
      <c r="M311" s="104">
        <f>SUM(M312:M314)</f>
        <v>0</v>
      </c>
      <c r="N311" s="106" t="s">
        <v>4</v>
      </c>
      <c r="O311" s="104">
        <f>SUM(O312:O314)</f>
        <v>0</v>
      </c>
      <c r="P311" s="27"/>
      <c r="Q311" s="27"/>
      <c r="R311" s="28"/>
      <c r="S311" s="28"/>
    </row>
    <row r="312" spans="1:19" s="29" customFormat="1" ht="15" customHeight="1" x14ac:dyDescent="0.15">
      <c r="A312" s="132"/>
      <c r="B312" s="134"/>
      <c r="C312" s="136"/>
      <c r="D312" s="57" t="s">
        <v>45</v>
      </c>
      <c r="E312" s="58"/>
      <c r="F312" s="120" t="s">
        <v>5</v>
      </c>
      <c r="G312" s="121"/>
      <c r="H312" s="120" t="s">
        <v>5</v>
      </c>
      <c r="I312" s="121"/>
      <c r="J312" s="122" t="s">
        <v>5</v>
      </c>
      <c r="K312" s="123"/>
      <c r="L312" s="122" t="s">
        <v>5</v>
      </c>
      <c r="M312" s="123"/>
      <c r="N312" s="111" t="s">
        <v>5</v>
      </c>
      <c r="O312" s="112">
        <f>I312-K312-M312</f>
        <v>0</v>
      </c>
      <c r="P312" s="27"/>
      <c r="Q312" s="27"/>
      <c r="R312" s="28"/>
      <c r="S312" s="28"/>
    </row>
    <row r="313" spans="1:19" s="29" customFormat="1" ht="15" customHeight="1" x14ac:dyDescent="0.15">
      <c r="A313" s="132" t="s">
        <v>147</v>
      </c>
      <c r="B313" s="134" t="s">
        <v>74</v>
      </c>
      <c r="C313" s="136"/>
      <c r="D313" s="57" t="s">
        <v>46</v>
      </c>
      <c r="E313" s="58"/>
      <c r="F313" s="124" t="s">
        <v>17</v>
      </c>
      <c r="G313" s="121">
        <v>101300000</v>
      </c>
      <c r="H313" s="120" t="s">
        <v>17</v>
      </c>
      <c r="I313" s="121"/>
      <c r="J313" s="122" t="s">
        <v>17</v>
      </c>
      <c r="K313" s="123"/>
      <c r="L313" s="122" t="s">
        <v>17</v>
      </c>
      <c r="M313" s="123"/>
      <c r="N313" s="111" t="s">
        <v>17</v>
      </c>
      <c r="O313" s="112">
        <f>I313-K313-M313</f>
        <v>0</v>
      </c>
      <c r="P313" s="27"/>
      <c r="Q313" s="27"/>
      <c r="R313" s="28"/>
      <c r="S313" s="28"/>
    </row>
    <row r="314" spans="1:19" s="29" customFormat="1" ht="15" customHeight="1" x14ac:dyDescent="0.15">
      <c r="A314" s="132"/>
      <c r="B314" s="138"/>
      <c r="C314" s="136"/>
      <c r="D314" s="59" t="s">
        <v>47</v>
      </c>
      <c r="E314" s="60"/>
      <c r="F314" s="125" t="s">
        <v>18</v>
      </c>
      <c r="G314" s="126"/>
      <c r="H314" s="125" t="s">
        <v>18</v>
      </c>
      <c r="I314" s="126"/>
      <c r="J314" s="127" t="s">
        <v>18</v>
      </c>
      <c r="K314" s="128"/>
      <c r="L314" s="127" t="s">
        <v>18</v>
      </c>
      <c r="M314" s="128"/>
      <c r="N314" s="118" t="s">
        <v>18</v>
      </c>
      <c r="O314" s="119">
        <f>I314-K314-M314</f>
        <v>0</v>
      </c>
      <c r="P314" s="27"/>
      <c r="Q314" s="27"/>
      <c r="R314" s="28"/>
      <c r="S314" s="28"/>
    </row>
    <row r="315" spans="1:19" s="29" customFormat="1" ht="15" customHeight="1" x14ac:dyDescent="0.15">
      <c r="A315" s="132" t="s">
        <v>12</v>
      </c>
      <c r="B315" s="147" t="s">
        <v>75</v>
      </c>
      <c r="C315" s="135"/>
      <c r="D315" s="61" t="s">
        <v>44</v>
      </c>
      <c r="E315" s="62"/>
      <c r="F315" s="103" t="s">
        <v>4</v>
      </c>
      <c r="G315" s="104">
        <f>SUM(G316:G318)</f>
        <v>25200000</v>
      </c>
      <c r="H315" s="105" t="s">
        <v>4</v>
      </c>
      <c r="I315" s="104"/>
      <c r="J315" s="106" t="s">
        <v>4</v>
      </c>
      <c r="K315" s="104"/>
      <c r="L315" s="106" t="s">
        <v>4</v>
      </c>
      <c r="M315" s="104">
        <f>SUM(M316:M318)</f>
        <v>0</v>
      </c>
      <c r="N315" s="106" t="s">
        <v>4</v>
      </c>
      <c r="O315" s="104">
        <f>SUM(O316:O318)</f>
        <v>0</v>
      </c>
      <c r="P315" s="27"/>
      <c r="Q315" s="27"/>
      <c r="R315" s="28"/>
      <c r="S315" s="28"/>
    </row>
    <row r="316" spans="1:19" s="29" customFormat="1" ht="15" customHeight="1" x14ac:dyDescent="0.15">
      <c r="A316" s="132"/>
      <c r="B316" s="148"/>
      <c r="C316" s="136"/>
      <c r="D316" s="57" t="s">
        <v>45</v>
      </c>
      <c r="E316" s="58"/>
      <c r="F316" s="120" t="s">
        <v>5</v>
      </c>
      <c r="G316" s="121"/>
      <c r="H316" s="120" t="s">
        <v>5</v>
      </c>
      <c r="I316" s="121"/>
      <c r="J316" s="122" t="s">
        <v>5</v>
      </c>
      <c r="K316" s="123"/>
      <c r="L316" s="122" t="s">
        <v>5</v>
      </c>
      <c r="M316" s="123"/>
      <c r="N316" s="111" t="s">
        <v>5</v>
      </c>
      <c r="O316" s="112">
        <f>I316-K316-M316</f>
        <v>0</v>
      </c>
      <c r="P316" s="27"/>
      <c r="Q316" s="27"/>
      <c r="R316" s="28"/>
      <c r="S316" s="28"/>
    </row>
    <row r="317" spans="1:19" s="29" customFormat="1" ht="15" customHeight="1" x14ac:dyDescent="0.15">
      <c r="A317" s="132" t="s">
        <v>148</v>
      </c>
      <c r="B317" s="148" t="s">
        <v>74</v>
      </c>
      <c r="C317" s="136"/>
      <c r="D317" s="57" t="s">
        <v>46</v>
      </c>
      <c r="E317" s="58"/>
      <c r="F317" s="124" t="s">
        <v>17</v>
      </c>
      <c r="G317" s="121">
        <v>25200000</v>
      </c>
      <c r="H317" s="120" t="s">
        <v>17</v>
      </c>
      <c r="I317" s="121"/>
      <c r="J317" s="122" t="s">
        <v>17</v>
      </c>
      <c r="K317" s="123"/>
      <c r="L317" s="122" t="s">
        <v>17</v>
      </c>
      <c r="M317" s="123"/>
      <c r="N317" s="111" t="s">
        <v>17</v>
      </c>
      <c r="O317" s="112">
        <f>I317-K317-M317</f>
        <v>0</v>
      </c>
      <c r="P317" s="27"/>
      <c r="Q317" s="27"/>
      <c r="R317" s="28"/>
      <c r="S317" s="28"/>
    </row>
    <row r="318" spans="1:19" s="29" customFormat="1" ht="15" customHeight="1" x14ac:dyDescent="0.15">
      <c r="A318" s="166"/>
      <c r="B318" s="148"/>
      <c r="C318" s="136"/>
      <c r="D318" s="59" t="s">
        <v>47</v>
      </c>
      <c r="E318" s="60"/>
      <c r="F318" s="125" t="s">
        <v>18</v>
      </c>
      <c r="G318" s="126"/>
      <c r="H318" s="125" t="s">
        <v>18</v>
      </c>
      <c r="I318" s="126"/>
      <c r="J318" s="127" t="s">
        <v>18</v>
      </c>
      <c r="K318" s="128"/>
      <c r="L318" s="127" t="s">
        <v>18</v>
      </c>
      <c r="M318" s="128"/>
      <c r="N318" s="118" t="s">
        <v>18</v>
      </c>
      <c r="O318" s="119">
        <f>I318-K318-M318</f>
        <v>0</v>
      </c>
      <c r="P318" s="27"/>
      <c r="Q318" s="27"/>
      <c r="R318" s="28"/>
      <c r="S318" s="28"/>
    </row>
    <row r="319" spans="1:19" s="29" customFormat="1" ht="15" customHeight="1" x14ac:dyDescent="0.15">
      <c r="A319" s="132" t="s">
        <v>12</v>
      </c>
      <c r="B319" s="139" t="s">
        <v>94</v>
      </c>
      <c r="C319" s="135"/>
      <c r="D319" s="61" t="s">
        <v>44</v>
      </c>
      <c r="E319" s="62"/>
      <c r="F319" s="103" t="s">
        <v>4</v>
      </c>
      <c r="G319" s="104">
        <f>SUM(G320:G322)</f>
        <v>16080000</v>
      </c>
      <c r="H319" s="105" t="s">
        <v>4</v>
      </c>
      <c r="I319" s="104"/>
      <c r="J319" s="106" t="s">
        <v>4</v>
      </c>
      <c r="K319" s="104"/>
      <c r="L319" s="106" t="s">
        <v>4</v>
      </c>
      <c r="M319" s="104">
        <f>SUM(M320:M322)</f>
        <v>0</v>
      </c>
      <c r="N319" s="106" t="s">
        <v>4</v>
      </c>
      <c r="O319" s="104">
        <f>SUM(O320:O322)</f>
        <v>0</v>
      </c>
      <c r="P319" s="27"/>
      <c r="Q319" s="27"/>
      <c r="R319" s="28"/>
      <c r="S319" s="28"/>
    </row>
    <row r="320" spans="1:19" s="29" customFormat="1" ht="15" customHeight="1" x14ac:dyDescent="0.15">
      <c r="A320" s="132"/>
      <c r="B320" s="134"/>
      <c r="C320" s="136"/>
      <c r="D320" s="57" t="s">
        <v>45</v>
      </c>
      <c r="E320" s="58"/>
      <c r="F320" s="120" t="s">
        <v>5</v>
      </c>
      <c r="G320" s="121">
        <v>8040000</v>
      </c>
      <c r="H320" s="120" t="s">
        <v>5</v>
      </c>
      <c r="I320" s="121"/>
      <c r="J320" s="122" t="s">
        <v>5</v>
      </c>
      <c r="K320" s="123"/>
      <c r="L320" s="122" t="s">
        <v>5</v>
      </c>
      <c r="M320" s="123"/>
      <c r="N320" s="111" t="s">
        <v>5</v>
      </c>
      <c r="O320" s="112">
        <f>I320-K320-M320</f>
        <v>0</v>
      </c>
      <c r="P320" s="27"/>
      <c r="Q320" s="27"/>
      <c r="R320" s="28"/>
      <c r="S320" s="28"/>
    </row>
    <row r="321" spans="1:19" s="29" customFormat="1" ht="15" customHeight="1" x14ac:dyDescent="0.15">
      <c r="A321" s="132" t="s">
        <v>149</v>
      </c>
      <c r="B321" s="134" t="s">
        <v>95</v>
      </c>
      <c r="C321" s="136"/>
      <c r="D321" s="57" t="s">
        <v>46</v>
      </c>
      <c r="E321" s="58"/>
      <c r="F321" s="124" t="s">
        <v>17</v>
      </c>
      <c r="G321" s="121">
        <v>8040000</v>
      </c>
      <c r="H321" s="120" t="s">
        <v>17</v>
      </c>
      <c r="I321" s="121"/>
      <c r="J321" s="122" t="s">
        <v>17</v>
      </c>
      <c r="K321" s="123"/>
      <c r="L321" s="122" t="s">
        <v>17</v>
      </c>
      <c r="M321" s="123"/>
      <c r="N321" s="111" t="s">
        <v>17</v>
      </c>
      <c r="O321" s="112">
        <f>I321-K321-M321</f>
        <v>0</v>
      </c>
      <c r="P321" s="27"/>
      <c r="Q321" s="27"/>
      <c r="R321" s="28"/>
      <c r="S321" s="28"/>
    </row>
    <row r="322" spans="1:19" s="29" customFormat="1" ht="15" customHeight="1" x14ac:dyDescent="0.15">
      <c r="A322" s="132"/>
      <c r="B322" s="138"/>
      <c r="C322" s="137"/>
      <c r="D322" s="59" t="s">
        <v>47</v>
      </c>
      <c r="E322" s="60"/>
      <c r="F322" s="125" t="s">
        <v>18</v>
      </c>
      <c r="G322" s="126"/>
      <c r="H322" s="125" t="s">
        <v>18</v>
      </c>
      <c r="I322" s="126"/>
      <c r="J322" s="127" t="s">
        <v>18</v>
      </c>
      <c r="K322" s="128"/>
      <c r="L322" s="127" t="s">
        <v>18</v>
      </c>
      <c r="M322" s="128"/>
      <c r="N322" s="118" t="s">
        <v>18</v>
      </c>
      <c r="O322" s="119">
        <f>I322-K322-M322</f>
        <v>0</v>
      </c>
      <c r="P322" s="27"/>
      <c r="Q322" s="27"/>
      <c r="R322" s="28"/>
      <c r="S322" s="28"/>
    </row>
    <row r="323" spans="1:19" s="29" customFormat="1" ht="15" customHeight="1" x14ac:dyDescent="0.15">
      <c r="A323" s="132" t="s">
        <v>12</v>
      </c>
      <c r="B323" s="139" t="s">
        <v>73</v>
      </c>
      <c r="C323" s="135"/>
      <c r="D323" s="61" t="s">
        <v>44</v>
      </c>
      <c r="E323" s="62"/>
      <c r="F323" s="103" t="s">
        <v>4</v>
      </c>
      <c r="G323" s="104">
        <f>SUM(G324:G326)</f>
        <v>43620000</v>
      </c>
      <c r="H323" s="105" t="s">
        <v>4</v>
      </c>
      <c r="I323" s="104"/>
      <c r="J323" s="106" t="s">
        <v>4</v>
      </c>
      <c r="K323" s="104"/>
      <c r="L323" s="106" t="s">
        <v>4</v>
      </c>
      <c r="M323" s="104">
        <f>SUM(M324:M326)</f>
        <v>0</v>
      </c>
      <c r="N323" s="106" t="s">
        <v>4</v>
      </c>
      <c r="O323" s="104">
        <f>SUM(O324:O326)</f>
        <v>0</v>
      </c>
      <c r="P323" s="27"/>
      <c r="Q323" s="27"/>
      <c r="R323" s="28"/>
      <c r="S323" s="28"/>
    </row>
    <row r="324" spans="1:19" s="29" customFormat="1" ht="15" customHeight="1" x14ac:dyDescent="0.15">
      <c r="A324" s="132"/>
      <c r="B324" s="134"/>
      <c r="C324" s="136"/>
      <c r="D324" s="57" t="s">
        <v>45</v>
      </c>
      <c r="E324" s="58"/>
      <c r="F324" s="120" t="s">
        <v>5</v>
      </c>
      <c r="G324" s="121"/>
      <c r="H324" s="120" t="s">
        <v>5</v>
      </c>
      <c r="I324" s="121"/>
      <c r="J324" s="122" t="s">
        <v>5</v>
      </c>
      <c r="K324" s="123"/>
      <c r="L324" s="122" t="s">
        <v>5</v>
      </c>
      <c r="M324" s="123"/>
      <c r="N324" s="111" t="s">
        <v>5</v>
      </c>
      <c r="O324" s="112">
        <f>I324-K324-M324</f>
        <v>0</v>
      </c>
      <c r="P324" s="27"/>
      <c r="Q324" s="27"/>
      <c r="R324" s="28"/>
      <c r="S324" s="28"/>
    </row>
    <row r="325" spans="1:19" s="29" customFormat="1" ht="15" customHeight="1" x14ac:dyDescent="0.15">
      <c r="A325" s="132" t="s">
        <v>150</v>
      </c>
      <c r="B325" s="134" t="s">
        <v>74</v>
      </c>
      <c r="C325" s="136"/>
      <c r="D325" s="57" t="s">
        <v>46</v>
      </c>
      <c r="E325" s="58"/>
      <c r="F325" s="124" t="s">
        <v>17</v>
      </c>
      <c r="G325" s="121">
        <v>43620000</v>
      </c>
      <c r="H325" s="120" t="s">
        <v>17</v>
      </c>
      <c r="I325" s="121"/>
      <c r="J325" s="122" t="s">
        <v>17</v>
      </c>
      <c r="K325" s="123"/>
      <c r="L325" s="122" t="s">
        <v>17</v>
      </c>
      <c r="M325" s="123"/>
      <c r="N325" s="111" t="s">
        <v>17</v>
      </c>
      <c r="O325" s="112">
        <f>I325-K325-M325</f>
        <v>0</v>
      </c>
      <c r="P325" s="27"/>
      <c r="Q325" s="27"/>
      <c r="R325" s="28"/>
      <c r="S325" s="28"/>
    </row>
    <row r="326" spans="1:19" s="29" customFormat="1" ht="15" customHeight="1" x14ac:dyDescent="0.15">
      <c r="A326" s="132"/>
      <c r="B326" s="138"/>
      <c r="C326" s="137"/>
      <c r="D326" s="59" t="s">
        <v>47</v>
      </c>
      <c r="E326" s="60"/>
      <c r="F326" s="125" t="s">
        <v>18</v>
      </c>
      <c r="G326" s="126"/>
      <c r="H326" s="125" t="s">
        <v>18</v>
      </c>
      <c r="I326" s="126"/>
      <c r="J326" s="127" t="s">
        <v>18</v>
      </c>
      <c r="K326" s="128"/>
      <c r="L326" s="127" t="s">
        <v>18</v>
      </c>
      <c r="M326" s="128"/>
      <c r="N326" s="118" t="s">
        <v>18</v>
      </c>
      <c r="O326" s="119">
        <f>I326-K326-M326</f>
        <v>0</v>
      </c>
      <c r="P326" s="27"/>
      <c r="Q326" s="27"/>
      <c r="R326" s="28"/>
      <c r="S326" s="28"/>
    </row>
    <row r="327" spans="1:19" s="29" customFormat="1" ht="15" customHeight="1" x14ac:dyDescent="0.15">
      <c r="A327" s="132" t="s">
        <v>12</v>
      </c>
      <c r="B327" s="139" t="s">
        <v>73</v>
      </c>
      <c r="C327" s="135"/>
      <c r="D327" s="61" t="s">
        <v>44</v>
      </c>
      <c r="E327" s="62"/>
      <c r="F327" s="103" t="s">
        <v>4</v>
      </c>
      <c r="G327" s="104">
        <f>SUM(G328:G330)</f>
        <v>39491000</v>
      </c>
      <c r="H327" s="105" t="s">
        <v>4</v>
      </c>
      <c r="I327" s="104"/>
      <c r="J327" s="106" t="s">
        <v>4</v>
      </c>
      <c r="K327" s="104"/>
      <c r="L327" s="106" t="s">
        <v>4</v>
      </c>
      <c r="M327" s="104">
        <f>SUM(M328:M330)</f>
        <v>0</v>
      </c>
      <c r="N327" s="106" t="s">
        <v>4</v>
      </c>
      <c r="O327" s="104">
        <f>SUM(O328:O330)</f>
        <v>0</v>
      </c>
      <c r="P327" s="27"/>
      <c r="Q327" s="27"/>
      <c r="R327" s="28"/>
      <c r="S327" s="28"/>
    </row>
    <row r="328" spans="1:19" s="29" customFormat="1" ht="15" customHeight="1" x14ac:dyDescent="0.15">
      <c r="A328" s="132"/>
      <c r="B328" s="134"/>
      <c r="C328" s="136"/>
      <c r="D328" s="57" t="s">
        <v>45</v>
      </c>
      <c r="E328" s="58"/>
      <c r="F328" s="120" t="s">
        <v>5</v>
      </c>
      <c r="G328" s="121">
        <v>19745000</v>
      </c>
      <c r="H328" s="120" t="s">
        <v>5</v>
      </c>
      <c r="I328" s="121"/>
      <c r="J328" s="122" t="s">
        <v>5</v>
      </c>
      <c r="K328" s="123"/>
      <c r="L328" s="122" t="s">
        <v>5</v>
      </c>
      <c r="M328" s="123"/>
      <c r="N328" s="111" t="s">
        <v>5</v>
      </c>
      <c r="O328" s="112">
        <f>I328-K328-M328</f>
        <v>0</v>
      </c>
      <c r="P328" s="27"/>
      <c r="Q328" s="27"/>
      <c r="R328" s="28"/>
      <c r="S328" s="28"/>
    </row>
    <row r="329" spans="1:19" s="29" customFormat="1" ht="15" customHeight="1" x14ac:dyDescent="0.15">
      <c r="A329" s="132" t="s">
        <v>151</v>
      </c>
      <c r="B329" s="134" t="s">
        <v>74</v>
      </c>
      <c r="C329" s="136"/>
      <c r="D329" s="57" t="s">
        <v>46</v>
      </c>
      <c r="E329" s="58"/>
      <c r="F329" s="124" t="s">
        <v>17</v>
      </c>
      <c r="G329" s="121">
        <v>19746000</v>
      </c>
      <c r="H329" s="120" t="s">
        <v>17</v>
      </c>
      <c r="I329" s="121"/>
      <c r="J329" s="122" t="s">
        <v>17</v>
      </c>
      <c r="K329" s="123"/>
      <c r="L329" s="122" t="s">
        <v>17</v>
      </c>
      <c r="M329" s="123"/>
      <c r="N329" s="111" t="s">
        <v>17</v>
      </c>
      <c r="O329" s="112">
        <f>I329-K329-M329</f>
        <v>0</v>
      </c>
      <c r="P329" s="27"/>
      <c r="Q329" s="27"/>
      <c r="R329" s="28"/>
      <c r="S329" s="28"/>
    </row>
    <row r="330" spans="1:19" s="29" customFormat="1" ht="15" customHeight="1" x14ac:dyDescent="0.15">
      <c r="A330" s="132"/>
      <c r="B330" s="138"/>
      <c r="C330" s="137"/>
      <c r="D330" s="59" t="s">
        <v>47</v>
      </c>
      <c r="E330" s="60"/>
      <c r="F330" s="125" t="s">
        <v>18</v>
      </c>
      <c r="G330" s="126"/>
      <c r="H330" s="125" t="s">
        <v>18</v>
      </c>
      <c r="I330" s="126"/>
      <c r="J330" s="127" t="s">
        <v>18</v>
      </c>
      <c r="K330" s="128"/>
      <c r="L330" s="127" t="s">
        <v>18</v>
      </c>
      <c r="M330" s="128"/>
      <c r="N330" s="118" t="s">
        <v>18</v>
      </c>
      <c r="O330" s="119">
        <f>I330-K330-M330</f>
        <v>0</v>
      </c>
      <c r="P330" s="27"/>
      <c r="Q330" s="27"/>
      <c r="R330" s="28"/>
      <c r="S330" s="28"/>
    </row>
    <row r="331" spans="1:19" s="29" customFormat="1" ht="15" customHeight="1" x14ac:dyDescent="0.15">
      <c r="A331" s="132" t="s">
        <v>12</v>
      </c>
      <c r="B331" s="133" t="s">
        <v>73</v>
      </c>
      <c r="C331" s="135"/>
      <c r="D331" s="61" t="s">
        <v>44</v>
      </c>
      <c r="E331" s="62"/>
      <c r="F331" s="103" t="s">
        <v>4</v>
      </c>
      <c r="G331" s="104">
        <f>SUM(G332:G334)</f>
        <v>30000000</v>
      </c>
      <c r="H331" s="105" t="s">
        <v>4</v>
      </c>
      <c r="I331" s="104">
        <f>SUM(I332:I334)</f>
        <v>30000000</v>
      </c>
      <c r="J331" s="106" t="s">
        <v>4</v>
      </c>
      <c r="K331" s="104">
        <f>SUM(K332:K334)</f>
        <v>29790000</v>
      </c>
      <c r="L331" s="106" t="s">
        <v>4</v>
      </c>
      <c r="M331" s="104">
        <f>SUM(M332:M334)</f>
        <v>0</v>
      </c>
      <c r="N331" s="106" t="s">
        <v>4</v>
      </c>
      <c r="O331" s="104">
        <f>SUM(O332:O334)</f>
        <v>210000</v>
      </c>
      <c r="P331" s="27"/>
      <c r="Q331" s="27"/>
      <c r="R331" s="28"/>
      <c r="S331" s="28"/>
    </row>
    <row r="332" spans="1:19" s="29" customFormat="1" ht="15" customHeight="1" x14ac:dyDescent="0.15">
      <c r="A332" s="132"/>
      <c r="B332" s="134"/>
      <c r="C332" s="136"/>
      <c r="D332" s="57" t="s">
        <v>45</v>
      </c>
      <c r="E332" s="58"/>
      <c r="F332" s="120" t="s">
        <v>5</v>
      </c>
      <c r="G332" s="121">
        <v>15000000</v>
      </c>
      <c r="H332" s="120" t="s">
        <v>5</v>
      </c>
      <c r="I332" s="121">
        <v>15000000</v>
      </c>
      <c r="J332" s="122" t="s">
        <v>5</v>
      </c>
      <c r="K332" s="123">
        <v>14895000</v>
      </c>
      <c r="L332" s="122" t="s">
        <v>5</v>
      </c>
      <c r="M332" s="123"/>
      <c r="N332" s="111" t="s">
        <v>5</v>
      </c>
      <c r="O332" s="112">
        <f>I332-K332-M332</f>
        <v>105000</v>
      </c>
      <c r="P332" s="27"/>
      <c r="Q332" s="27"/>
      <c r="R332" s="28"/>
      <c r="S332" s="28"/>
    </row>
    <row r="333" spans="1:19" s="29" customFormat="1" ht="15" customHeight="1" x14ac:dyDescent="0.15">
      <c r="A333" s="132" t="s">
        <v>152</v>
      </c>
      <c r="B333" s="134" t="s">
        <v>74</v>
      </c>
      <c r="C333" s="136"/>
      <c r="D333" s="57" t="s">
        <v>46</v>
      </c>
      <c r="E333" s="58"/>
      <c r="F333" s="124" t="s">
        <v>17</v>
      </c>
      <c r="G333" s="121">
        <v>7500000</v>
      </c>
      <c r="H333" s="120" t="s">
        <v>17</v>
      </c>
      <c r="I333" s="121">
        <v>7500000</v>
      </c>
      <c r="J333" s="122" t="s">
        <v>17</v>
      </c>
      <c r="K333" s="123">
        <v>7447500</v>
      </c>
      <c r="L333" s="122" t="s">
        <v>17</v>
      </c>
      <c r="M333" s="123"/>
      <c r="N333" s="111" t="s">
        <v>17</v>
      </c>
      <c r="O333" s="112">
        <f>I333-K333-M333</f>
        <v>52500</v>
      </c>
      <c r="P333" s="27"/>
      <c r="Q333" s="27"/>
      <c r="R333" s="28"/>
      <c r="S333" s="28"/>
    </row>
    <row r="334" spans="1:19" s="29" customFormat="1" ht="15" customHeight="1" x14ac:dyDescent="0.15">
      <c r="A334" s="132"/>
      <c r="B334" s="138"/>
      <c r="C334" s="137"/>
      <c r="D334" s="59" t="s">
        <v>47</v>
      </c>
      <c r="E334" s="60"/>
      <c r="F334" s="125" t="s">
        <v>18</v>
      </c>
      <c r="G334" s="126">
        <v>7500000</v>
      </c>
      <c r="H334" s="125" t="s">
        <v>18</v>
      </c>
      <c r="I334" s="126">
        <v>7500000</v>
      </c>
      <c r="J334" s="127" t="s">
        <v>18</v>
      </c>
      <c r="K334" s="128">
        <v>7447500</v>
      </c>
      <c r="L334" s="127" t="s">
        <v>18</v>
      </c>
      <c r="M334" s="128"/>
      <c r="N334" s="118" t="s">
        <v>18</v>
      </c>
      <c r="O334" s="119">
        <f>I334-K334-M334</f>
        <v>52500</v>
      </c>
      <c r="P334" s="27"/>
      <c r="Q334" s="27"/>
      <c r="R334" s="28"/>
      <c r="S334" s="28"/>
    </row>
    <row r="335" spans="1:19" s="29" customFormat="1" ht="15" customHeight="1" x14ac:dyDescent="0.15">
      <c r="A335" s="132" t="s">
        <v>12</v>
      </c>
      <c r="B335" s="133" t="s">
        <v>109</v>
      </c>
      <c r="C335" s="135"/>
      <c r="D335" s="61" t="s">
        <v>44</v>
      </c>
      <c r="E335" s="62"/>
      <c r="F335" s="103" t="s">
        <v>4</v>
      </c>
      <c r="G335" s="104">
        <f>SUM(G336:G338)</f>
        <v>18240000</v>
      </c>
      <c r="H335" s="105" t="s">
        <v>4</v>
      </c>
      <c r="I335" s="104">
        <f>SUM(I336:I338)</f>
        <v>18240000</v>
      </c>
      <c r="J335" s="106" t="s">
        <v>4</v>
      </c>
      <c r="K335" s="104">
        <f>SUM(K336:K338)</f>
        <v>14400000</v>
      </c>
      <c r="L335" s="106" t="s">
        <v>4</v>
      </c>
      <c r="M335" s="104">
        <f>SUM(M336:M338)</f>
        <v>0</v>
      </c>
      <c r="N335" s="106" t="s">
        <v>4</v>
      </c>
      <c r="O335" s="104">
        <f>SUM(O336:O338)</f>
        <v>3840000</v>
      </c>
      <c r="P335" s="27"/>
      <c r="Q335" s="27"/>
      <c r="R335" s="28"/>
      <c r="S335" s="28"/>
    </row>
    <row r="336" spans="1:19" s="29" customFormat="1" ht="15" customHeight="1" x14ac:dyDescent="0.15">
      <c r="A336" s="132"/>
      <c r="B336" s="134"/>
      <c r="C336" s="136"/>
      <c r="D336" s="57" t="s">
        <v>45</v>
      </c>
      <c r="E336" s="58"/>
      <c r="F336" s="120" t="s">
        <v>5</v>
      </c>
      <c r="G336" s="121">
        <v>9120000</v>
      </c>
      <c r="H336" s="120" t="s">
        <v>5</v>
      </c>
      <c r="I336" s="121">
        <v>9120000</v>
      </c>
      <c r="J336" s="122" t="s">
        <v>5</v>
      </c>
      <c r="K336" s="123">
        <v>7200000</v>
      </c>
      <c r="L336" s="122" t="s">
        <v>5</v>
      </c>
      <c r="M336" s="123"/>
      <c r="N336" s="111" t="s">
        <v>5</v>
      </c>
      <c r="O336" s="112">
        <f>I336-K336-M336</f>
        <v>1920000</v>
      </c>
      <c r="P336" s="27"/>
      <c r="Q336" s="27"/>
      <c r="R336" s="28"/>
      <c r="S336" s="28"/>
    </row>
    <row r="337" spans="1:19" s="29" customFormat="1" ht="15" customHeight="1" x14ac:dyDescent="0.15">
      <c r="A337" s="132" t="s">
        <v>153</v>
      </c>
      <c r="B337" s="134" t="s">
        <v>110</v>
      </c>
      <c r="C337" s="136"/>
      <c r="D337" s="57" t="s">
        <v>46</v>
      </c>
      <c r="E337" s="58"/>
      <c r="F337" s="124" t="s">
        <v>17</v>
      </c>
      <c r="G337" s="121">
        <v>9120000</v>
      </c>
      <c r="H337" s="120" t="s">
        <v>17</v>
      </c>
      <c r="I337" s="121">
        <v>9120000</v>
      </c>
      <c r="J337" s="122" t="s">
        <v>17</v>
      </c>
      <c r="K337" s="123">
        <v>7200000</v>
      </c>
      <c r="L337" s="122" t="s">
        <v>17</v>
      </c>
      <c r="M337" s="123"/>
      <c r="N337" s="111" t="s">
        <v>17</v>
      </c>
      <c r="O337" s="112">
        <f>I337-K337-M337</f>
        <v>1920000</v>
      </c>
      <c r="P337" s="27"/>
      <c r="Q337" s="27"/>
      <c r="R337" s="28"/>
      <c r="S337" s="28"/>
    </row>
    <row r="338" spans="1:19" s="29" customFormat="1" ht="15" customHeight="1" x14ac:dyDescent="0.15">
      <c r="A338" s="132"/>
      <c r="B338" s="138"/>
      <c r="C338" s="137"/>
      <c r="D338" s="59" t="s">
        <v>47</v>
      </c>
      <c r="E338" s="60"/>
      <c r="F338" s="125" t="s">
        <v>18</v>
      </c>
      <c r="G338" s="126"/>
      <c r="H338" s="125" t="s">
        <v>18</v>
      </c>
      <c r="I338" s="126"/>
      <c r="J338" s="127" t="s">
        <v>18</v>
      </c>
      <c r="K338" s="128"/>
      <c r="L338" s="127" t="s">
        <v>18</v>
      </c>
      <c r="M338" s="128"/>
      <c r="N338" s="118" t="s">
        <v>18</v>
      </c>
      <c r="O338" s="119">
        <f>I338-K338-M338</f>
        <v>0</v>
      </c>
      <c r="P338" s="27"/>
      <c r="Q338" s="27"/>
      <c r="R338" s="28"/>
      <c r="S338" s="28"/>
    </row>
    <row r="339" spans="1:19" s="29" customFormat="1" ht="15" customHeight="1" x14ac:dyDescent="0.15">
      <c r="A339" s="132" t="s">
        <v>12</v>
      </c>
      <c r="B339" s="133" t="s">
        <v>155</v>
      </c>
      <c r="C339" s="135"/>
      <c r="D339" s="61" t="s">
        <v>44</v>
      </c>
      <c r="E339" s="62"/>
      <c r="F339" s="103" t="s">
        <v>4</v>
      </c>
      <c r="G339" s="104">
        <f>SUM(G340:G342)</f>
        <v>5919000</v>
      </c>
      <c r="H339" s="105" t="s">
        <v>4</v>
      </c>
      <c r="I339" s="104">
        <f>SUM(I340:I342)</f>
        <v>5919000</v>
      </c>
      <c r="J339" s="106" t="s">
        <v>4</v>
      </c>
      <c r="K339" s="104">
        <f>SUM(K340:K342)</f>
        <v>5568000</v>
      </c>
      <c r="L339" s="106" t="s">
        <v>4</v>
      </c>
      <c r="M339" s="104">
        <f>SUM(M340:M342)</f>
        <v>0</v>
      </c>
      <c r="N339" s="106" t="s">
        <v>4</v>
      </c>
      <c r="O339" s="104">
        <f>SUM(O340:O342)</f>
        <v>351000</v>
      </c>
      <c r="P339" s="27"/>
      <c r="Q339" s="27"/>
      <c r="R339" s="28"/>
      <c r="S339" s="28"/>
    </row>
    <row r="340" spans="1:19" s="29" customFormat="1" ht="15" customHeight="1" x14ac:dyDescent="0.15">
      <c r="A340" s="132"/>
      <c r="B340" s="134"/>
      <c r="C340" s="136"/>
      <c r="D340" s="57" t="s">
        <v>45</v>
      </c>
      <c r="E340" s="58"/>
      <c r="F340" s="120" t="s">
        <v>5</v>
      </c>
      <c r="G340" s="121"/>
      <c r="H340" s="120" t="s">
        <v>5</v>
      </c>
      <c r="I340" s="121"/>
      <c r="J340" s="122" t="s">
        <v>5</v>
      </c>
      <c r="K340" s="121"/>
      <c r="L340" s="122" t="s">
        <v>5</v>
      </c>
      <c r="M340" s="123"/>
      <c r="N340" s="111" t="s">
        <v>5</v>
      </c>
      <c r="O340" s="112">
        <f>I340-K340-M340</f>
        <v>0</v>
      </c>
      <c r="P340" s="27"/>
      <c r="Q340" s="27"/>
      <c r="R340" s="28"/>
      <c r="S340" s="28"/>
    </row>
    <row r="341" spans="1:19" s="29" customFormat="1" ht="15" customHeight="1" x14ac:dyDescent="0.15">
      <c r="A341" s="132" t="s">
        <v>154</v>
      </c>
      <c r="B341" s="134" t="s">
        <v>110</v>
      </c>
      <c r="C341" s="136"/>
      <c r="D341" s="57" t="s">
        <v>46</v>
      </c>
      <c r="E341" s="58"/>
      <c r="F341" s="124" t="s">
        <v>17</v>
      </c>
      <c r="G341" s="121">
        <v>5919000</v>
      </c>
      <c r="H341" s="120" t="s">
        <v>17</v>
      </c>
      <c r="I341" s="121">
        <v>5919000</v>
      </c>
      <c r="J341" s="122" t="s">
        <v>17</v>
      </c>
      <c r="K341" s="121">
        <v>5568000</v>
      </c>
      <c r="L341" s="122" t="s">
        <v>17</v>
      </c>
      <c r="M341" s="123"/>
      <c r="N341" s="111" t="s">
        <v>17</v>
      </c>
      <c r="O341" s="112">
        <f>I341-K341-M341</f>
        <v>351000</v>
      </c>
      <c r="P341" s="27"/>
      <c r="Q341" s="27"/>
      <c r="R341" s="28"/>
      <c r="S341" s="28"/>
    </row>
    <row r="342" spans="1:19" s="29" customFormat="1" ht="15" customHeight="1" x14ac:dyDescent="0.15">
      <c r="A342" s="132"/>
      <c r="B342" s="138"/>
      <c r="C342" s="137"/>
      <c r="D342" s="59" t="s">
        <v>47</v>
      </c>
      <c r="E342" s="60"/>
      <c r="F342" s="125" t="s">
        <v>18</v>
      </c>
      <c r="G342" s="126"/>
      <c r="H342" s="125" t="s">
        <v>18</v>
      </c>
      <c r="I342" s="126"/>
      <c r="J342" s="127" t="s">
        <v>18</v>
      </c>
      <c r="K342" s="126"/>
      <c r="L342" s="127" t="s">
        <v>18</v>
      </c>
      <c r="M342" s="128"/>
      <c r="N342" s="118" t="s">
        <v>18</v>
      </c>
      <c r="O342" s="119">
        <f>I342-K342-M342</f>
        <v>0</v>
      </c>
      <c r="P342" s="27"/>
      <c r="Q342" s="27"/>
      <c r="R342" s="28"/>
      <c r="S342" s="28"/>
    </row>
    <row r="343" spans="1:19" s="29" customFormat="1" ht="15" customHeight="1" x14ac:dyDescent="0.15">
      <c r="A343" s="132" t="s">
        <v>12</v>
      </c>
      <c r="B343" s="133" t="s">
        <v>73</v>
      </c>
      <c r="C343" s="135"/>
      <c r="D343" s="61" t="s">
        <v>44</v>
      </c>
      <c r="E343" s="62"/>
      <c r="F343" s="103" t="s">
        <v>4</v>
      </c>
      <c r="G343" s="104">
        <f>SUM(G344:G346)</f>
        <v>5472000</v>
      </c>
      <c r="H343" s="105" t="s">
        <v>4</v>
      </c>
      <c r="I343" s="104">
        <f>SUM(I344:I346)</f>
        <v>5472000</v>
      </c>
      <c r="J343" s="106" t="s">
        <v>4</v>
      </c>
      <c r="K343" s="104">
        <f>SUM(K344:K346)</f>
        <v>3184730</v>
      </c>
      <c r="L343" s="106" t="s">
        <v>4</v>
      </c>
      <c r="M343" s="104">
        <f>SUM(M344:M346)</f>
        <v>0</v>
      </c>
      <c r="N343" s="106" t="s">
        <v>4</v>
      </c>
      <c r="O343" s="104">
        <f>SUM(O344:O346)</f>
        <v>2287270</v>
      </c>
      <c r="P343" s="27"/>
      <c r="Q343" s="27"/>
      <c r="R343" s="28"/>
      <c r="S343" s="28"/>
    </row>
    <row r="344" spans="1:19" s="29" customFormat="1" ht="15" customHeight="1" x14ac:dyDescent="0.15">
      <c r="A344" s="132"/>
      <c r="B344" s="134"/>
      <c r="C344" s="136"/>
      <c r="D344" s="57" t="s">
        <v>45</v>
      </c>
      <c r="E344" s="58"/>
      <c r="F344" s="120" t="s">
        <v>5</v>
      </c>
      <c r="G344" s="121"/>
      <c r="H344" s="120" t="s">
        <v>5</v>
      </c>
      <c r="I344" s="121"/>
      <c r="J344" s="122" t="s">
        <v>5</v>
      </c>
      <c r="K344" s="123"/>
      <c r="L344" s="122" t="s">
        <v>5</v>
      </c>
      <c r="M344" s="123"/>
      <c r="N344" s="111" t="s">
        <v>5</v>
      </c>
      <c r="O344" s="112">
        <f>I344-K344-M344</f>
        <v>0</v>
      </c>
      <c r="P344" s="27"/>
      <c r="Q344" s="27"/>
      <c r="R344" s="28"/>
      <c r="S344" s="28"/>
    </row>
    <row r="345" spans="1:19" s="29" customFormat="1" ht="15" customHeight="1" x14ac:dyDescent="0.15">
      <c r="A345" s="132" t="s">
        <v>156</v>
      </c>
      <c r="B345" s="134" t="s">
        <v>74</v>
      </c>
      <c r="C345" s="136"/>
      <c r="D345" s="57" t="s">
        <v>46</v>
      </c>
      <c r="E345" s="58"/>
      <c r="F345" s="124" t="s">
        <v>17</v>
      </c>
      <c r="G345" s="121">
        <v>5472000</v>
      </c>
      <c r="H345" s="120" t="s">
        <v>17</v>
      </c>
      <c r="I345" s="121">
        <v>5472000</v>
      </c>
      <c r="J345" s="122" t="s">
        <v>17</v>
      </c>
      <c r="K345" s="123">
        <v>3184730</v>
      </c>
      <c r="L345" s="122" t="s">
        <v>17</v>
      </c>
      <c r="M345" s="123"/>
      <c r="N345" s="111" t="s">
        <v>17</v>
      </c>
      <c r="O345" s="112">
        <f>I345-K345-M345</f>
        <v>2287270</v>
      </c>
      <c r="P345" s="27"/>
      <c r="Q345" s="27"/>
      <c r="R345" s="28"/>
      <c r="S345" s="28"/>
    </row>
    <row r="346" spans="1:19" s="29" customFormat="1" ht="15" customHeight="1" x14ac:dyDescent="0.15">
      <c r="A346" s="132"/>
      <c r="B346" s="138"/>
      <c r="C346" s="137"/>
      <c r="D346" s="59" t="s">
        <v>47</v>
      </c>
      <c r="E346" s="60"/>
      <c r="F346" s="125" t="s">
        <v>18</v>
      </c>
      <c r="G346" s="126"/>
      <c r="H346" s="125" t="s">
        <v>18</v>
      </c>
      <c r="I346" s="126"/>
      <c r="J346" s="127" t="s">
        <v>18</v>
      </c>
      <c r="K346" s="128"/>
      <c r="L346" s="127" t="s">
        <v>18</v>
      </c>
      <c r="M346" s="128"/>
      <c r="N346" s="118" t="s">
        <v>18</v>
      </c>
      <c r="O346" s="119">
        <f>I346-K346-M346</f>
        <v>0</v>
      </c>
      <c r="P346" s="27"/>
      <c r="Q346" s="27"/>
      <c r="R346" s="28"/>
      <c r="S346" s="28"/>
    </row>
    <row r="347" spans="1:19" s="29" customFormat="1" ht="15" customHeight="1" x14ac:dyDescent="0.15">
      <c r="A347" s="132" t="s">
        <v>12</v>
      </c>
      <c r="B347" s="133" t="s">
        <v>158</v>
      </c>
      <c r="C347" s="135"/>
      <c r="D347" s="61" t="s">
        <v>44</v>
      </c>
      <c r="E347" s="62"/>
      <c r="F347" s="103" t="s">
        <v>4</v>
      </c>
      <c r="G347" s="104">
        <f>SUM(G348:G350)</f>
        <v>210000000</v>
      </c>
      <c r="H347" s="105" t="s">
        <v>4</v>
      </c>
      <c r="I347" s="104">
        <f>SUM(I348:I350)</f>
        <v>210000000</v>
      </c>
      <c r="J347" s="106" t="s">
        <v>4</v>
      </c>
      <c r="K347" s="104">
        <f>SUM(K348:K350)</f>
        <v>140000000</v>
      </c>
      <c r="L347" s="106" t="s">
        <v>4</v>
      </c>
      <c r="M347" s="104">
        <f>SUM(M348:M350)</f>
        <v>70000000</v>
      </c>
      <c r="N347" s="106" t="s">
        <v>4</v>
      </c>
      <c r="O347" s="104">
        <f>SUM(O348:O350)</f>
        <v>0</v>
      </c>
      <c r="P347" s="27"/>
      <c r="Q347" s="27"/>
      <c r="R347" s="28"/>
      <c r="S347" s="28"/>
    </row>
    <row r="348" spans="1:19" s="29" customFormat="1" ht="15" customHeight="1" x14ac:dyDescent="0.15">
      <c r="A348" s="132"/>
      <c r="B348" s="134"/>
      <c r="C348" s="136"/>
      <c r="D348" s="57" t="s">
        <v>45</v>
      </c>
      <c r="E348" s="58"/>
      <c r="F348" s="120" t="s">
        <v>5</v>
      </c>
      <c r="G348" s="121">
        <v>135000000</v>
      </c>
      <c r="H348" s="120" t="s">
        <v>5</v>
      </c>
      <c r="I348" s="121">
        <v>135000000</v>
      </c>
      <c r="J348" s="122" t="s">
        <v>5</v>
      </c>
      <c r="K348" s="123">
        <v>90000000</v>
      </c>
      <c r="L348" s="122" t="s">
        <v>5</v>
      </c>
      <c r="M348" s="123">
        <v>45000000</v>
      </c>
      <c r="N348" s="111" t="s">
        <v>5</v>
      </c>
      <c r="O348" s="112">
        <f>I348-K348-M348</f>
        <v>0</v>
      </c>
      <c r="P348" s="27"/>
      <c r="Q348" s="27"/>
      <c r="R348" s="28"/>
      <c r="S348" s="28"/>
    </row>
    <row r="349" spans="1:19" s="29" customFormat="1" ht="15" customHeight="1" x14ac:dyDescent="0.15">
      <c r="A349" s="132" t="s">
        <v>157</v>
      </c>
      <c r="B349" s="134" t="s">
        <v>159</v>
      </c>
      <c r="C349" s="136"/>
      <c r="D349" s="57" t="s">
        <v>46</v>
      </c>
      <c r="E349" s="58"/>
      <c r="F349" s="124" t="s">
        <v>17</v>
      </c>
      <c r="G349" s="121">
        <v>75000000</v>
      </c>
      <c r="H349" s="120" t="s">
        <v>17</v>
      </c>
      <c r="I349" s="121">
        <v>75000000</v>
      </c>
      <c r="J349" s="122" t="s">
        <v>17</v>
      </c>
      <c r="K349" s="123">
        <v>50000000</v>
      </c>
      <c r="L349" s="122" t="s">
        <v>17</v>
      </c>
      <c r="M349" s="123">
        <v>25000000</v>
      </c>
      <c r="N349" s="111" t="s">
        <v>17</v>
      </c>
      <c r="O349" s="112">
        <f>I349-K349-M349</f>
        <v>0</v>
      </c>
      <c r="P349" s="27"/>
      <c r="Q349" s="27"/>
      <c r="R349" s="28"/>
      <c r="S349" s="28"/>
    </row>
    <row r="350" spans="1:19" s="29" customFormat="1" ht="15" customHeight="1" x14ac:dyDescent="0.15">
      <c r="A350" s="132"/>
      <c r="B350" s="138"/>
      <c r="C350" s="137"/>
      <c r="D350" s="59" t="s">
        <v>47</v>
      </c>
      <c r="E350" s="60"/>
      <c r="F350" s="125" t="s">
        <v>18</v>
      </c>
      <c r="G350" s="126"/>
      <c r="H350" s="125" t="s">
        <v>18</v>
      </c>
      <c r="I350" s="126"/>
      <c r="J350" s="127" t="s">
        <v>18</v>
      </c>
      <c r="K350" s="128"/>
      <c r="L350" s="127" t="s">
        <v>18</v>
      </c>
      <c r="M350" s="128"/>
      <c r="N350" s="118" t="s">
        <v>18</v>
      </c>
      <c r="O350" s="119">
        <f>I350-K350-M350</f>
        <v>0</v>
      </c>
      <c r="P350" s="27"/>
      <c r="Q350" s="27"/>
      <c r="R350" s="28"/>
      <c r="S350" s="28"/>
    </row>
    <row r="351" spans="1:19" s="29" customFormat="1" ht="15" customHeight="1" x14ac:dyDescent="0.15">
      <c r="A351" s="132" t="s">
        <v>12</v>
      </c>
      <c r="B351" s="133" t="s">
        <v>88</v>
      </c>
      <c r="C351" s="135"/>
      <c r="D351" s="61" t="s">
        <v>76</v>
      </c>
      <c r="E351" s="62"/>
      <c r="F351" s="103" t="s">
        <v>4</v>
      </c>
      <c r="G351" s="104">
        <f>SUM(G352:G354)</f>
        <v>24734000</v>
      </c>
      <c r="H351" s="105" t="s">
        <v>4</v>
      </c>
      <c r="I351" s="104">
        <f>SUM(I352:I354)</f>
        <v>24734000</v>
      </c>
      <c r="J351" s="106" t="s">
        <v>4</v>
      </c>
      <c r="K351" s="104">
        <f>SUM(K352:K354)</f>
        <v>24732660</v>
      </c>
      <c r="L351" s="106" t="s">
        <v>4</v>
      </c>
      <c r="M351" s="104">
        <f>SUM(M352:M354)</f>
        <v>0</v>
      </c>
      <c r="N351" s="106" t="s">
        <v>4</v>
      </c>
      <c r="O351" s="104">
        <f>SUM(O352:O354)</f>
        <v>1340</v>
      </c>
      <c r="P351" s="27"/>
      <c r="Q351" s="27"/>
      <c r="R351" s="28"/>
      <c r="S351" s="28"/>
    </row>
    <row r="352" spans="1:19" s="29" customFormat="1" ht="15" customHeight="1" x14ac:dyDescent="0.15">
      <c r="A352" s="132"/>
      <c r="B352" s="134"/>
      <c r="C352" s="136"/>
      <c r="D352" s="57" t="s">
        <v>45</v>
      </c>
      <c r="E352" s="58"/>
      <c r="F352" s="120" t="s">
        <v>5</v>
      </c>
      <c r="G352" s="121">
        <v>4200000</v>
      </c>
      <c r="H352" s="120" t="s">
        <v>5</v>
      </c>
      <c r="I352" s="121">
        <v>4200000</v>
      </c>
      <c r="J352" s="122" t="s">
        <v>5</v>
      </c>
      <c r="K352" s="123">
        <v>4200000</v>
      </c>
      <c r="L352" s="122" t="s">
        <v>5</v>
      </c>
      <c r="M352" s="123"/>
      <c r="N352" s="111" t="s">
        <v>5</v>
      </c>
      <c r="O352" s="112">
        <f>I352-K352-M352</f>
        <v>0</v>
      </c>
      <c r="P352" s="27"/>
      <c r="Q352" s="27"/>
      <c r="R352" s="28"/>
      <c r="S352" s="28"/>
    </row>
    <row r="353" spans="1:19" s="29" customFormat="1" ht="15" customHeight="1" x14ac:dyDescent="0.15">
      <c r="A353" s="132" t="s">
        <v>160</v>
      </c>
      <c r="B353" s="134" t="s">
        <v>89</v>
      </c>
      <c r="C353" s="136"/>
      <c r="D353" s="57" t="s">
        <v>46</v>
      </c>
      <c r="E353" s="58"/>
      <c r="F353" s="124" t="s">
        <v>17</v>
      </c>
      <c r="G353" s="121">
        <v>4200000</v>
      </c>
      <c r="H353" s="120" t="s">
        <v>17</v>
      </c>
      <c r="I353" s="121">
        <v>4200000</v>
      </c>
      <c r="J353" s="122" t="s">
        <v>17</v>
      </c>
      <c r="K353" s="123">
        <v>4200000</v>
      </c>
      <c r="L353" s="122" t="s">
        <v>17</v>
      </c>
      <c r="M353" s="123"/>
      <c r="N353" s="111" t="s">
        <v>17</v>
      </c>
      <c r="O353" s="112">
        <f>I353-K353-M353</f>
        <v>0</v>
      </c>
      <c r="P353" s="27"/>
      <c r="Q353" s="27"/>
      <c r="R353" s="28"/>
      <c r="S353" s="28"/>
    </row>
    <row r="354" spans="1:19" s="29" customFormat="1" ht="15" customHeight="1" x14ac:dyDescent="0.15">
      <c r="A354" s="132"/>
      <c r="B354" s="138"/>
      <c r="C354" s="137"/>
      <c r="D354" s="59" t="s">
        <v>47</v>
      </c>
      <c r="E354" s="60"/>
      <c r="F354" s="125" t="s">
        <v>18</v>
      </c>
      <c r="G354" s="126">
        <v>16334000</v>
      </c>
      <c r="H354" s="125" t="s">
        <v>18</v>
      </c>
      <c r="I354" s="126">
        <v>16334000</v>
      </c>
      <c r="J354" s="127" t="s">
        <v>18</v>
      </c>
      <c r="K354" s="128">
        <v>16332660</v>
      </c>
      <c r="L354" s="127" t="s">
        <v>18</v>
      </c>
      <c r="M354" s="128"/>
      <c r="N354" s="118" t="s">
        <v>18</v>
      </c>
      <c r="O354" s="119">
        <f>I354-K354-M354</f>
        <v>1340</v>
      </c>
      <c r="P354" s="27"/>
      <c r="Q354" s="27"/>
      <c r="R354" s="28"/>
      <c r="S354" s="28"/>
    </row>
    <row r="355" spans="1:19" s="29" customFormat="1" ht="15" customHeight="1" x14ac:dyDescent="0.15">
      <c r="A355" s="132" t="s">
        <v>12</v>
      </c>
      <c r="B355" s="133" t="s">
        <v>109</v>
      </c>
      <c r="C355" s="135"/>
      <c r="D355" s="61" t="s">
        <v>76</v>
      </c>
      <c r="E355" s="62"/>
      <c r="F355" s="103" t="s">
        <v>4</v>
      </c>
      <c r="G355" s="104">
        <f>SUM(G356:G358)</f>
        <v>122926000</v>
      </c>
      <c r="H355" s="105" t="s">
        <v>4</v>
      </c>
      <c r="I355" s="104">
        <f>SUM(I356:I358)</f>
        <v>122926000</v>
      </c>
      <c r="J355" s="106" t="s">
        <v>4</v>
      </c>
      <c r="K355" s="104">
        <f>SUM(K356:K358)</f>
        <v>122803380</v>
      </c>
      <c r="L355" s="106" t="s">
        <v>4</v>
      </c>
      <c r="M355" s="104">
        <f>SUM(M356:M358)</f>
        <v>0</v>
      </c>
      <c r="N355" s="106" t="s">
        <v>4</v>
      </c>
      <c r="O355" s="104">
        <f>SUM(O356:O358)</f>
        <v>122620</v>
      </c>
      <c r="P355" s="27"/>
      <c r="Q355" s="27"/>
      <c r="R355" s="28"/>
      <c r="S355" s="28"/>
    </row>
    <row r="356" spans="1:19" s="29" customFormat="1" ht="15" customHeight="1" x14ac:dyDescent="0.15">
      <c r="A356" s="132"/>
      <c r="B356" s="134"/>
      <c r="C356" s="136"/>
      <c r="D356" s="57" t="s">
        <v>45</v>
      </c>
      <c r="E356" s="58"/>
      <c r="F356" s="120" t="s">
        <v>5</v>
      </c>
      <c r="G356" s="121">
        <v>61320000</v>
      </c>
      <c r="H356" s="120" t="s">
        <v>5</v>
      </c>
      <c r="I356" s="121">
        <v>61320000</v>
      </c>
      <c r="J356" s="122" t="s">
        <v>5</v>
      </c>
      <c r="K356" s="123">
        <v>61280860</v>
      </c>
      <c r="L356" s="122" t="s">
        <v>5</v>
      </c>
      <c r="M356" s="123"/>
      <c r="N356" s="111" t="s">
        <v>5</v>
      </c>
      <c r="O356" s="112">
        <f>I356-K356-M356</f>
        <v>39140</v>
      </c>
      <c r="P356" s="27"/>
      <c r="Q356" s="27"/>
      <c r="R356" s="28"/>
      <c r="S356" s="28"/>
    </row>
    <row r="357" spans="1:19" s="29" customFormat="1" ht="15" customHeight="1" x14ac:dyDescent="0.15">
      <c r="A357" s="132" t="s">
        <v>161</v>
      </c>
      <c r="B357" s="134" t="s">
        <v>110</v>
      </c>
      <c r="C357" s="136"/>
      <c r="D357" s="57" t="s">
        <v>46</v>
      </c>
      <c r="E357" s="58"/>
      <c r="F357" s="124" t="s">
        <v>17</v>
      </c>
      <c r="G357" s="121">
        <v>61606000</v>
      </c>
      <c r="H357" s="120" t="s">
        <v>17</v>
      </c>
      <c r="I357" s="121">
        <v>61606000</v>
      </c>
      <c r="J357" s="122" t="s">
        <v>17</v>
      </c>
      <c r="K357" s="123">
        <v>61522520</v>
      </c>
      <c r="L357" s="122" t="s">
        <v>17</v>
      </c>
      <c r="M357" s="123"/>
      <c r="N357" s="111" t="s">
        <v>17</v>
      </c>
      <c r="O357" s="112">
        <f>I357-K357-M357</f>
        <v>83480</v>
      </c>
      <c r="P357" s="27"/>
      <c r="Q357" s="27"/>
      <c r="R357" s="28"/>
      <c r="S357" s="28"/>
    </row>
    <row r="358" spans="1:19" s="29" customFormat="1" ht="15" customHeight="1" x14ac:dyDescent="0.15">
      <c r="A358" s="132"/>
      <c r="B358" s="138"/>
      <c r="C358" s="137"/>
      <c r="D358" s="59" t="s">
        <v>47</v>
      </c>
      <c r="E358" s="60"/>
      <c r="F358" s="125" t="s">
        <v>18</v>
      </c>
      <c r="G358" s="126"/>
      <c r="H358" s="125" t="s">
        <v>18</v>
      </c>
      <c r="I358" s="126"/>
      <c r="J358" s="127" t="s">
        <v>18</v>
      </c>
      <c r="K358" s="128"/>
      <c r="L358" s="127" t="s">
        <v>18</v>
      </c>
      <c r="M358" s="128"/>
      <c r="N358" s="118" t="s">
        <v>18</v>
      </c>
      <c r="O358" s="119">
        <f>I358-K358-M358</f>
        <v>0</v>
      </c>
      <c r="P358" s="27"/>
      <c r="Q358" s="27"/>
      <c r="R358" s="28"/>
      <c r="S358" s="28"/>
    </row>
    <row r="359" spans="1:19" s="29" customFormat="1" ht="15" customHeight="1" x14ac:dyDescent="0.15">
      <c r="A359" s="132" t="s">
        <v>12</v>
      </c>
      <c r="B359" s="133" t="s">
        <v>163</v>
      </c>
      <c r="C359" s="135"/>
      <c r="D359" s="61" t="s">
        <v>16</v>
      </c>
      <c r="E359" s="62"/>
      <c r="F359" s="103" t="s">
        <v>4</v>
      </c>
      <c r="G359" s="104">
        <f>SUM(G360:G362)</f>
        <v>5414900000</v>
      </c>
      <c r="H359" s="105" t="s">
        <v>4</v>
      </c>
      <c r="I359" s="104">
        <f>SUM(I360:I362)</f>
        <v>5414900000</v>
      </c>
      <c r="J359" s="106" t="s">
        <v>4</v>
      </c>
      <c r="K359" s="104">
        <f>SUM(K360:K362)</f>
        <v>5237867660</v>
      </c>
      <c r="L359" s="106" t="s">
        <v>4</v>
      </c>
      <c r="M359" s="104">
        <f>SUM(M360:M362)</f>
        <v>177032000</v>
      </c>
      <c r="N359" s="106" t="s">
        <v>4</v>
      </c>
      <c r="O359" s="104">
        <f>SUM(O360:O362)</f>
        <v>340</v>
      </c>
      <c r="P359" s="27"/>
      <c r="Q359" s="27"/>
      <c r="R359" s="28"/>
      <c r="S359" s="28"/>
    </row>
    <row r="360" spans="1:19" s="29" customFormat="1" ht="15" customHeight="1" x14ac:dyDescent="0.15">
      <c r="A360" s="132"/>
      <c r="B360" s="134"/>
      <c r="C360" s="136"/>
      <c r="D360" s="57" t="s">
        <v>45</v>
      </c>
      <c r="E360" s="58"/>
      <c r="F360" s="120" t="s">
        <v>5</v>
      </c>
      <c r="G360" s="121">
        <v>5414900000</v>
      </c>
      <c r="H360" s="120" t="s">
        <v>5</v>
      </c>
      <c r="I360" s="121">
        <v>5414900000</v>
      </c>
      <c r="J360" s="122" t="s">
        <v>5</v>
      </c>
      <c r="K360" s="123">
        <v>5237867660</v>
      </c>
      <c r="L360" s="122" t="s">
        <v>5</v>
      </c>
      <c r="M360" s="123">
        <v>177032000</v>
      </c>
      <c r="N360" s="111" t="s">
        <v>5</v>
      </c>
      <c r="O360" s="112">
        <f>I360-K360-M360</f>
        <v>340</v>
      </c>
      <c r="P360" s="27"/>
      <c r="Q360" s="27"/>
      <c r="R360" s="28"/>
      <c r="S360" s="28"/>
    </row>
    <row r="361" spans="1:19" s="29" customFormat="1" ht="15" customHeight="1" x14ac:dyDescent="0.15">
      <c r="A361" s="132" t="s">
        <v>162</v>
      </c>
      <c r="B361" s="134" t="s">
        <v>164</v>
      </c>
      <c r="C361" s="136"/>
      <c r="D361" s="57" t="s">
        <v>15</v>
      </c>
      <c r="E361" s="58"/>
      <c r="F361" s="124" t="s">
        <v>17</v>
      </c>
      <c r="G361" s="121"/>
      <c r="H361" s="120" t="s">
        <v>17</v>
      </c>
      <c r="I361" s="121"/>
      <c r="J361" s="122" t="s">
        <v>17</v>
      </c>
      <c r="K361" s="123"/>
      <c r="L361" s="122" t="s">
        <v>17</v>
      </c>
      <c r="M361" s="123"/>
      <c r="N361" s="111" t="s">
        <v>17</v>
      </c>
      <c r="O361" s="112">
        <f>I361-K361-M361</f>
        <v>0</v>
      </c>
      <c r="P361" s="27"/>
      <c r="Q361" s="27"/>
      <c r="R361" s="28"/>
      <c r="S361" s="28"/>
    </row>
    <row r="362" spans="1:19" s="29" customFormat="1" ht="15" customHeight="1" x14ac:dyDescent="0.15">
      <c r="A362" s="132"/>
      <c r="B362" s="138"/>
      <c r="C362" s="137"/>
      <c r="D362" s="59" t="s">
        <v>47</v>
      </c>
      <c r="E362" s="60"/>
      <c r="F362" s="125" t="s">
        <v>18</v>
      </c>
      <c r="G362" s="126"/>
      <c r="H362" s="125" t="s">
        <v>18</v>
      </c>
      <c r="I362" s="126"/>
      <c r="J362" s="127" t="s">
        <v>18</v>
      </c>
      <c r="K362" s="128"/>
      <c r="L362" s="127" t="s">
        <v>18</v>
      </c>
      <c r="M362" s="128"/>
      <c r="N362" s="118" t="s">
        <v>18</v>
      </c>
      <c r="O362" s="119">
        <f>I362-K362-M362</f>
        <v>0</v>
      </c>
      <c r="P362" s="27"/>
      <c r="Q362" s="27"/>
      <c r="R362" s="28"/>
      <c r="S362" s="28"/>
    </row>
    <row r="363" spans="1:19" s="29" customFormat="1" ht="15" customHeight="1" x14ac:dyDescent="0.15">
      <c r="A363" s="132" t="s">
        <v>12</v>
      </c>
      <c r="B363" s="133" t="s">
        <v>166</v>
      </c>
      <c r="C363" s="135"/>
      <c r="D363" s="61" t="s">
        <v>76</v>
      </c>
      <c r="E363" s="62"/>
      <c r="F363" s="103" t="s">
        <v>4</v>
      </c>
      <c r="G363" s="104">
        <f>SUM(G364:G366)</f>
        <v>3600000</v>
      </c>
      <c r="H363" s="105" t="s">
        <v>4</v>
      </c>
      <c r="I363" s="104">
        <f>SUM(I364:I366)</f>
        <v>3600000</v>
      </c>
      <c r="J363" s="106" t="s">
        <v>4</v>
      </c>
      <c r="K363" s="104">
        <f>SUM(K364:K366)</f>
        <v>3600000</v>
      </c>
      <c r="L363" s="106" t="s">
        <v>4</v>
      </c>
      <c r="M363" s="104">
        <f>SUM(M364:M366)</f>
        <v>0</v>
      </c>
      <c r="N363" s="106" t="s">
        <v>4</v>
      </c>
      <c r="O363" s="104">
        <f>SUM(O364:O366)</f>
        <v>0</v>
      </c>
      <c r="P363" s="27"/>
      <c r="Q363" s="27"/>
      <c r="R363" s="28"/>
      <c r="S363" s="28"/>
    </row>
    <row r="364" spans="1:19" s="29" customFormat="1" ht="15" customHeight="1" x14ac:dyDescent="0.15">
      <c r="A364" s="132"/>
      <c r="B364" s="134"/>
      <c r="C364" s="136"/>
      <c r="D364" s="57" t="s">
        <v>45</v>
      </c>
      <c r="E364" s="58"/>
      <c r="F364" s="120" t="s">
        <v>5</v>
      </c>
      <c r="G364" s="121">
        <v>1800000</v>
      </c>
      <c r="H364" s="120" t="s">
        <v>5</v>
      </c>
      <c r="I364" s="121">
        <v>1800000</v>
      </c>
      <c r="J364" s="122" t="s">
        <v>5</v>
      </c>
      <c r="K364" s="123">
        <v>1800000</v>
      </c>
      <c r="L364" s="122" t="s">
        <v>5</v>
      </c>
      <c r="M364" s="123"/>
      <c r="N364" s="111" t="s">
        <v>5</v>
      </c>
      <c r="O364" s="112">
        <f>I364-K364-M364</f>
        <v>0</v>
      </c>
      <c r="P364" s="27"/>
      <c r="Q364" s="27"/>
      <c r="R364" s="28"/>
      <c r="S364" s="28"/>
    </row>
    <row r="365" spans="1:19" s="29" customFormat="1" ht="15" customHeight="1" x14ac:dyDescent="0.15">
      <c r="A365" s="132" t="s">
        <v>165</v>
      </c>
      <c r="B365" s="134" t="s">
        <v>167</v>
      </c>
      <c r="C365" s="136"/>
      <c r="D365" s="57" t="s">
        <v>15</v>
      </c>
      <c r="E365" s="58"/>
      <c r="F365" s="124" t="s">
        <v>17</v>
      </c>
      <c r="G365" s="121">
        <v>1800000</v>
      </c>
      <c r="H365" s="120" t="s">
        <v>17</v>
      </c>
      <c r="I365" s="121">
        <v>1800000</v>
      </c>
      <c r="J365" s="122" t="s">
        <v>17</v>
      </c>
      <c r="K365" s="123">
        <v>1800000</v>
      </c>
      <c r="L365" s="122" t="s">
        <v>17</v>
      </c>
      <c r="M365" s="123"/>
      <c r="N365" s="111" t="s">
        <v>17</v>
      </c>
      <c r="O365" s="112">
        <f>I365-K365-M365</f>
        <v>0</v>
      </c>
      <c r="P365" s="27"/>
      <c r="Q365" s="27"/>
      <c r="R365" s="28"/>
      <c r="S365" s="28"/>
    </row>
    <row r="366" spans="1:19" s="29" customFormat="1" ht="15" customHeight="1" x14ac:dyDescent="0.15">
      <c r="A366" s="132"/>
      <c r="B366" s="138"/>
      <c r="C366" s="137"/>
      <c r="D366" s="59" t="s">
        <v>47</v>
      </c>
      <c r="E366" s="60"/>
      <c r="F366" s="125" t="s">
        <v>18</v>
      </c>
      <c r="G366" s="126"/>
      <c r="H366" s="125" t="s">
        <v>18</v>
      </c>
      <c r="I366" s="126"/>
      <c r="J366" s="127" t="s">
        <v>18</v>
      </c>
      <c r="K366" s="128"/>
      <c r="L366" s="127" t="s">
        <v>18</v>
      </c>
      <c r="M366" s="128"/>
      <c r="N366" s="118" t="s">
        <v>18</v>
      </c>
      <c r="O366" s="119">
        <f>I366-K366-M366</f>
        <v>0</v>
      </c>
      <c r="P366" s="27"/>
      <c r="Q366" s="27"/>
      <c r="R366" s="28"/>
      <c r="S366" s="28"/>
    </row>
    <row r="367" spans="1:19" s="29" customFormat="1" ht="15" customHeight="1" x14ac:dyDescent="0.15">
      <c r="A367" s="132" t="s">
        <v>12</v>
      </c>
      <c r="B367" s="133" t="s">
        <v>163</v>
      </c>
      <c r="C367" s="135"/>
      <c r="D367" s="61" t="s">
        <v>76</v>
      </c>
      <c r="E367" s="62"/>
      <c r="F367" s="103" t="s">
        <v>4</v>
      </c>
      <c r="G367" s="104">
        <f>SUM(G368:G370)</f>
        <v>2489700000</v>
      </c>
      <c r="H367" s="105" t="s">
        <v>4</v>
      </c>
      <c r="I367" s="104">
        <f>SUM(I368:I370)</f>
        <v>2489700000</v>
      </c>
      <c r="J367" s="106" t="s">
        <v>4</v>
      </c>
      <c r="K367" s="104">
        <f>SUM(K368:K370)</f>
        <v>2467000000</v>
      </c>
      <c r="L367" s="106" t="s">
        <v>4</v>
      </c>
      <c r="M367" s="104">
        <f>SUM(M368:M370)</f>
        <v>0</v>
      </c>
      <c r="N367" s="106" t="s">
        <v>4</v>
      </c>
      <c r="O367" s="104">
        <f>SUM(O368:O370)</f>
        <v>22700000</v>
      </c>
      <c r="P367" s="27"/>
      <c r="Q367" s="27"/>
      <c r="R367" s="28"/>
      <c r="S367" s="28"/>
    </row>
    <row r="368" spans="1:19" s="29" customFormat="1" ht="15" customHeight="1" x14ac:dyDescent="0.15">
      <c r="A368" s="132"/>
      <c r="B368" s="134"/>
      <c r="C368" s="136"/>
      <c r="D368" s="57" t="s">
        <v>45</v>
      </c>
      <c r="E368" s="58"/>
      <c r="F368" s="120" t="s">
        <v>5</v>
      </c>
      <c r="G368" s="121">
        <v>2489700000</v>
      </c>
      <c r="H368" s="120" t="s">
        <v>5</v>
      </c>
      <c r="I368" s="121">
        <v>2489700000</v>
      </c>
      <c r="J368" s="122" t="s">
        <v>5</v>
      </c>
      <c r="K368" s="123">
        <v>2467000000</v>
      </c>
      <c r="L368" s="122" t="s">
        <v>5</v>
      </c>
      <c r="M368" s="123"/>
      <c r="N368" s="111" t="s">
        <v>5</v>
      </c>
      <c r="O368" s="112">
        <f>I368-K368-M368</f>
        <v>22700000</v>
      </c>
      <c r="P368" s="27"/>
      <c r="Q368" s="27"/>
      <c r="R368" s="28"/>
      <c r="S368" s="28"/>
    </row>
    <row r="369" spans="1:19" s="29" customFormat="1" ht="15" customHeight="1" x14ac:dyDescent="0.15">
      <c r="A369" s="132" t="s">
        <v>214</v>
      </c>
      <c r="B369" s="134" t="s">
        <v>164</v>
      </c>
      <c r="C369" s="136"/>
      <c r="D369" s="57" t="s">
        <v>15</v>
      </c>
      <c r="E369" s="58"/>
      <c r="F369" s="124" t="s">
        <v>17</v>
      </c>
      <c r="G369" s="121"/>
      <c r="H369" s="120" t="s">
        <v>17</v>
      </c>
      <c r="I369" s="121"/>
      <c r="J369" s="122" t="s">
        <v>17</v>
      </c>
      <c r="K369" s="123"/>
      <c r="L369" s="122" t="s">
        <v>17</v>
      </c>
      <c r="M369" s="123"/>
      <c r="N369" s="111" t="s">
        <v>17</v>
      </c>
      <c r="O369" s="112">
        <f>I369-K369-M369</f>
        <v>0</v>
      </c>
      <c r="P369" s="27"/>
      <c r="Q369" s="27"/>
      <c r="R369" s="28"/>
      <c r="S369" s="28"/>
    </row>
    <row r="370" spans="1:19" s="29" customFormat="1" ht="15" customHeight="1" x14ac:dyDescent="0.15">
      <c r="A370" s="132"/>
      <c r="B370" s="138"/>
      <c r="C370" s="137"/>
      <c r="D370" s="59" t="s">
        <v>47</v>
      </c>
      <c r="E370" s="60"/>
      <c r="F370" s="125" t="s">
        <v>18</v>
      </c>
      <c r="G370" s="126"/>
      <c r="H370" s="125" t="s">
        <v>18</v>
      </c>
      <c r="I370" s="126"/>
      <c r="J370" s="127" t="s">
        <v>18</v>
      </c>
      <c r="K370" s="128"/>
      <c r="L370" s="127" t="s">
        <v>18</v>
      </c>
      <c r="M370" s="128"/>
      <c r="N370" s="118" t="s">
        <v>18</v>
      </c>
      <c r="O370" s="119">
        <f>I370-K370-M370</f>
        <v>0</v>
      </c>
      <c r="P370" s="27"/>
      <c r="Q370" s="27"/>
      <c r="R370" s="28"/>
      <c r="S370" s="28"/>
    </row>
    <row r="371" spans="1:19" s="29" customFormat="1" ht="15" customHeight="1" x14ac:dyDescent="0.15">
      <c r="A371" s="132" t="s">
        <v>12</v>
      </c>
      <c r="B371" s="133" t="s">
        <v>169</v>
      </c>
      <c r="C371" s="135"/>
      <c r="D371" s="61" t="s">
        <v>16</v>
      </c>
      <c r="E371" s="62"/>
      <c r="F371" s="103" t="s">
        <v>4</v>
      </c>
      <c r="G371" s="104">
        <f>SUM(G372:G374)</f>
        <v>5000000</v>
      </c>
      <c r="H371" s="105" t="s">
        <v>4</v>
      </c>
      <c r="I371" s="104">
        <f>SUM(I372:I374)</f>
        <v>5000000</v>
      </c>
      <c r="J371" s="106" t="s">
        <v>4</v>
      </c>
      <c r="K371" s="104">
        <f>SUM(K372:K374)</f>
        <v>0</v>
      </c>
      <c r="L371" s="106" t="s">
        <v>4</v>
      </c>
      <c r="M371" s="104">
        <f>SUM(M372:M374)</f>
        <v>5000000</v>
      </c>
      <c r="N371" s="106" t="s">
        <v>4</v>
      </c>
      <c r="O371" s="104">
        <f>SUM(O372:O374)</f>
        <v>0</v>
      </c>
      <c r="P371" s="27"/>
      <c r="Q371" s="27"/>
      <c r="R371" s="28"/>
      <c r="S371" s="28"/>
    </row>
    <row r="372" spans="1:19" s="29" customFormat="1" ht="15" customHeight="1" x14ac:dyDescent="0.15">
      <c r="A372" s="132"/>
      <c r="B372" s="134"/>
      <c r="C372" s="136"/>
      <c r="D372" s="57" t="s">
        <v>45</v>
      </c>
      <c r="E372" s="58"/>
      <c r="F372" s="120" t="s">
        <v>5</v>
      </c>
      <c r="G372" s="121">
        <v>5000000</v>
      </c>
      <c r="H372" s="120" t="s">
        <v>5</v>
      </c>
      <c r="I372" s="121">
        <v>5000000</v>
      </c>
      <c r="J372" s="122" t="s">
        <v>5</v>
      </c>
      <c r="K372" s="123"/>
      <c r="L372" s="122" t="s">
        <v>5</v>
      </c>
      <c r="M372" s="123">
        <v>5000000</v>
      </c>
      <c r="N372" s="111" t="s">
        <v>5</v>
      </c>
      <c r="O372" s="112">
        <f>I372-K372-M372</f>
        <v>0</v>
      </c>
      <c r="P372" s="27"/>
      <c r="Q372" s="27"/>
      <c r="R372" s="28"/>
      <c r="S372" s="28"/>
    </row>
    <row r="373" spans="1:19" s="29" customFormat="1" ht="15" customHeight="1" x14ac:dyDescent="0.15">
      <c r="A373" s="132" t="s">
        <v>168</v>
      </c>
      <c r="B373" s="134" t="s">
        <v>170</v>
      </c>
      <c r="C373" s="136"/>
      <c r="D373" s="57" t="s">
        <v>15</v>
      </c>
      <c r="E373" s="58"/>
      <c r="F373" s="124" t="s">
        <v>17</v>
      </c>
      <c r="G373" s="121"/>
      <c r="H373" s="120" t="s">
        <v>17</v>
      </c>
      <c r="I373" s="121"/>
      <c r="J373" s="122" t="s">
        <v>17</v>
      </c>
      <c r="K373" s="123"/>
      <c r="L373" s="122" t="s">
        <v>17</v>
      </c>
      <c r="M373" s="123"/>
      <c r="N373" s="111" t="s">
        <v>17</v>
      </c>
      <c r="O373" s="112">
        <f>I373-K373-M373</f>
        <v>0</v>
      </c>
      <c r="P373" s="27"/>
      <c r="Q373" s="27"/>
      <c r="R373" s="28"/>
      <c r="S373" s="28"/>
    </row>
    <row r="374" spans="1:19" s="29" customFormat="1" ht="15" customHeight="1" x14ac:dyDescent="0.15">
      <c r="A374" s="132"/>
      <c r="B374" s="138"/>
      <c r="C374" s="137"/>
      <c r="D374" s="59" t="s">
        <v>47</v>
      </c>
      <c r="E374" s="60"/>
      <c r="F374" s="125" t="s">
        <v>18</v>
      </c>
      <c r="G374" s="126"/>
      <c r="H374" s="125" t="s">
        <v>18</v>
      </c>
      <c r="I374" s="126"/>
      <c r="J374" s="127" t="s">
        <v>18</v>
      </c>
      <c r="K374" s="128"/>
      <c r="L374" s="127" t="s">
        <v>18</v>
      </c>
      <c r="M374" s="128"/>
      <c r="N374" s="118" t="s">
        <v>18</v>
      </c>
      <c r="O374" s="119">
        <f>I374-K374-M374</f>
        <v>0</v>
      </c>
      <c r="P374" s="27"/>
      <c r="Q374" s="27"/>
      <c r="R374" s="28"/>
      <c r="S374" s="28"/>
    </row>
    <row r="375" spans="1:19" s="29" customFormat="1" ht="15" customHeight="1" x14ac:dyDescent="0.15">
      <c r="A375" s="132" t="s">
        <v>12</v>
      </c>
      <c r="B375" s="133" t="s">
        <v>171</v>
      </c>
      <c r="C375" s="135"/>
      <c r="D375" s="61" t="s">
        <v>76</v>
      </c>
      <c r="E375" s="62"/>
      <c r="F375" s="103" t="s">
        <v>4</v>
      </c>
      <c r="G375" s="104">
        <f>SUM(G376:G378)</f>
        <v>15000000</v>
      </c>
      <c r="H375" s="105" t="s">
        <v>4</v>
      </c>
      <c r="I375" s="104">
        <f>SUM(I376:I378)</f>
        <v>15000000</v>
      </c>
      <c r="J375" s="106" t="s">
        <v>4</v>
      </c>
      <c r="K375" s="104">
        <f>SUM(K376:K378)</f>
        <v>0</v>
      </c>
      <c r="L375" s="106" t="s">
        <v>4</v>
      </c>
      <c r="M375" s="104">
        <f>SUM(M376:M378)</f>
        <v>15000000</v>
      </c>
      <c r="N375" s="106" t="s">
        <v>4</v>
      </c>
      <c r="O375" s="104">
        <f>SUM(O376:O378)</f>
        <v>0</v>
      </c>
      <c r="P375" s="27"/>
      <c r="Q375" s="27"/>
      <c r="R375" s="28"/>
      <c r="S375" s="28"/>
    </row>
    <row r="376" spans="1:19" s="29" customFormat="1" ht="15" customHeight="1" x14ac:dyDescent="0.15">
      <c r="A376" s="132"/>
      <c r="B376" s="134"/>
      <c r="C376" s="136"/>
      <c r="D376" s="57" t="s">
        <v>45</v>
      </c>
      <c r="E376" s="58"/>
      <c r="F376" s="120" t="s">
        <v>5</v>
      </c>
      <c r="G376" s="121">
        <v>15000000</v>
      </c>
      <c r="H376" s="120" t="s">
        <v>5</v>
      </c>
      <c r="I376" s="121">
        <v>15000000</v>
      </c>
      <c r="J376" s="122" t="s">
        <v>5</v>
      </c>
      <c r="K376" s="123"/>
      <c r="L376" s="122" t="s">
        <v>5</v>
      </c>
      <c r="M376" s="123">
        <v>15000000</v>
      </c>
      <c r="N376" s="111" t="s">
        <v>5</v>
      </c>
      <c r="O376" s="112">
        <f>I376-K376-M376</f>
        <v>0</v>
      </c>
      <c r="P376" s="27"/>
      <c r="Q376" s="27"/>
      <c r="R376" s="28"/>
      <c r="S376" s="28"/>
    </row>
    <row r="377" spans="1:19" s="29" customFormat="1" ht="15" customHeight="1" x14ac:dyDescent="0.15">
      <c r="A377" s="132" t="s">
        <v>168</v>
      </c>
      <c r="B377" s="134" t="s">
        <v>172</v>
      </c>
      <c r="C377" s="136"/>
      <c r="D377" s="57" t="s">
        <v>15</v>
      </c>
      <c r="E377" s="58"/>
      <c r="F377" s="124" t="s">
        <v>17</v>
      </c>
      <c r="G377" s="121"/>
      <c r="H377" s="120" t="s">
        <v>17</v>
      </c>
      <c r="I377" s="121"/>
      <c r="J377" s="122" t="s">
        <v>17</v>
      </c>
      <c r="K377" s="123"/>
      <c r="L377" s="122" t="s">
        <v>17</v>
      </c>
      <c r="M377" s="123"/>
      <c r="N377" s="111" t="s">
        <v>17</v>
      </c>
      <c r="O377" s="112">
        <f>I377-K377-M377</f>
        <v>0</v>
      </c>
      <c r="P377" s="27"/>
      <c r="Q377" s="27"/>
      <c r="R377" s="28"/>
      <c r="S377" s="28"/>
    </row>
    <row r="378" spans="1:19" s="29" customFormat="1" ht="15" customHeight="1" x14ac:dyDescent="0.15">
      <c r="A378" s="132"/>
      <c r="B378" s="138"/>
      <c r="C378" s="137"/>
      <c r="D378" s="59" t="s">
        <v>47</v>
      </c>
      <c r="E378" s="60"/>
      <c r="F378" s="125" t="s">
        <v>18</v>
      </c>
      <c r="G378" s="126"/>
      <c r="H378" s="125" t="s">
        <v>18</v>
      </c>
      <c r="I378" s="126"/>
      <c r="J378" s="127" t="s">
        <v>18</v>
      </c>
      <c r="K378" s="128"/>
      <c r="L378" s="127" t="s">
        <v>18</v>
      </c>
      <c r="M378" s="128"/>
      <c r="N378" s="118" t="s">
        <v>18</v>
      </c>
      <c r="O378" s="119">
        <f>I378-K378-M378</f>
        <v>0</v>
      </c>
      <c r="P378" s="27"/>
      <c r="Q378" s="27"/>
      <c r="R378" s="28"/>
      <c r="S378" s="28"/>
    </row>
    <row r="379" spans="1:19" s="84" customFormat="1" ht="15" customHeight="1" x14ac:dyDescent="0.15">
      <c r="A379" s="160" t="s">
        <v>77</v>
      </c>
      <c r="B379" s="161"/>
      <c r="C379" s="162"/>
      <c r="D379" s="94" t="s">
        <v>44</v>
      </c>
      <c r="E379" s="65">
        <f>SUMIF(D383:D414,D379,E383:E414)</f>
        <v>0</v>
      </c>
      <c r="F379" s="77" t="s">
        <v>4</v>
      </c>
      <c r="G379" s="65">
        <f>SUM(G380:G382)</f>
        <v>1253657000</v>
      </c>
      <c r="H379" s="77" t="s">
        <v>4</v>
      </c>
      <c r="I379" s="65">
        <f>SUM(I380:I382)</f>
        <v>0</v>
      </c>
      <c r="J379" s="77" t="s">
        <v>4</v>
      </c>
      <c r="K379" s="65">
        <f>SUM(K380:K382)</f>
        <v>0</v>
      </c>
      <c r="L379" s="77" t="s">
        <v>4</v>
      </c>
      <c r="M379" s="65">
        <f>SUM(M380:M382)</f>
        <v>0</v>
      </c>
      <c r="N379" s="77" t="s">
        <v>4</v>
      </c>
      <c r="O379" s="65">
        <f>SUM(O380:O382)</f>
        <v>0</v>
      </c>
      <c r="P379" s="8"/>
      <c r="Q379" s="8"/>
      <c r="R379" s="6"/>
      <c r="S379" s="6"/>
    </row>
    <row r="380" spans="1:19" s="84" customFormat="1" ht="15" customHeight="1" x14ac:dyDescent="0.15">
      <c r="A380" s="163"/>
      <c r="B380" s="164"/>
      <c r="C380" s="165"/>
      <c r="D380" s="92" t="s">
        <v>45</v>
      </c>
      <c r="E380" s="66">
        <f>SUMIF(D383:D414,D380,E383:E414)</f>
        <v>22300000</v>
      </c>
      <c r="F380" s="67" t="s">
        <v>5</v>
      </c>
      <c r="G380" s="66">
        <f>SUMIF(F384:F486,F380,G384:G486)</f>
        <v>574163000</v>
      </c>
      <c r="H380" s="67" t="s">
        <v>5</v>
      </c>
      <c r="I380" s="66">
        <f>SUMIF(H384:H486,H380,I384:I486)</f>
        <v>0</v>
      </c>
      <c r="J380" s="67" t="s">
        <v>5</v>
      </c>
      <c r="K380" s="66">
        <f>SUMIF(J384:J486,J380,K384:K486)</f>
        <v>0</v>
      </c>
      <c r="L380" s="67" t="s">
        <v>5</v>
      </c>
      <c r="M380" s="66">
        <f>SUMIF(L384:L486,L380,M384:M486)</f>
        <v>0</v>
      </c>
      <c r="N380" s="67" t="s">
        <v>5</v>
      </c>
      <c r="O380" s="66">
        <f>SUMIF(N384:N486,N380,O384:O486)</f>
        <v>0</v>
      </c>
      <c r="P380" s="8"/>
      <c r="Q380" s="8"/>
      <c r="R380" s="6"/>
      <c r="S380" s="6"/>
    </row>
    <row r="381" spans="1:19" s="84" customFormat="1" ht="15" customHeight="1" x14ac:dyDescent="0.15">
      <c r="A381" s="163"/>
      <c r="B381" s="164"/>
      <c r="C381" s="165"/>
      <c r="D381" s="92" t="s">
        <v>46</v>
      </c>
      <c r="E381" s="66">
        <f>SUMIF(D384:D414,D381,E384:E414)</f>
        <v>0</v>
      </c>
      <c r="F381" s="67" t="s">
        <v>17</v>
      </c>
      <c r="G381" s="66">
        <f>SUMIF(F385:F486,F381,G385:G486)</f>
        <v>396730000</v>
      </c>
      <c r="H381" s="67" t="s">
        <v>17</v>
      </c>
      <c r="I381" s="66">
        <f>SUMIF(H385:H486,H381,I385:I486)</f>
        <v>0</v>
      </c>
      <c r="J381" s="67" t="s">
        <v>17</v>
      </c>
      <c r="K381" s="66">
        <f>SUMIF(J385:J486,J381,K385:K486)</f>
        <v>0</v>
      </c>
      <c r="L381" s="67" t="s">
        <v>17</v>
      </c>
      <c r="M381" s="66">
        <f>SUMIF(L385:L486,L381,M385:M486)</f>
        <v>0</v>
      </c>
      <c r="N381" s="67" t="s">
        <v>17</v>
      </c>
      <c r="O381" s="66">
        <f>SUMIF(N385:N486,N381,O385:O486)</f>
        <v>0</v>
      </c>
      <c r="P381" s="8"/>
      <c r="Q381" s="8"/>
      <c r="R381" s="6"/>
      <c r="S381" s="6"/>
    </row>
    <row r="382" spans="1:19" s="84" customFormat="1" ht="15" customHeight="1" x14ac:dyDescent="0.15">
      <c r="A382" s="163"/>
      <c r="B382" s="164"/>
      <c r="C382" s="165"/>
      <c r="D382" s="93" t="s">
        <v>47</v>
      </c>
      <c r="E382" s="68">
        <f>SUMIF(D383:D414,D382,E383:E414)</f>
        <v>0</v>
      </c>
      <c r="F382" s="69" t="s">
        <v>18</v>
      </c>
      <c r="G382" s="66">
        <f>SUMIF(F386:F486,F382,G386:G486)</f>
        <v>282764000</v>
      </c>
      <c r="H382" s="69" t="s">
        <v>18</v>
      </c>
      <c r="I382" s="66">
        <f>SUMIF(H386:H486,H382,I386:I486)</f>
        <v>0</v>
      </c>
      <c r="J382" s="69" t="s">
        <v>18</v>
      </c>
      <c r="K382" s="66">
        <f>SUMIF(J386:J486,J382,K386:K486)</f>
        <v>0</v>
      </c>
      <c r="L382" s="69" t="s">
        <v>18</v>
      </c>
      <c r="M382" s="66">
        <f>SUMIF(L386:L486,L382,M386:M486)</f>
        <v>0</v>
      </c>
      <c r="N382" s="69" t="s">
        <v>18</v>
      </c>
      <c r="O382" s="66">
        <f>SUMIF(N386:N486,N382,O386:O486)</f>
        <v>0</v>
      </c>
      <c r="P382" s="8"/>
      <c r="Q382" s="8"/>
      <c r="R382" s="6"/>
      <c r="S382" s="6"/>
    </row>
    <row r="383" spans="1:19" s="29" customFormat="1" ht="15" customHeight="1" x14ac:dyDescent="0.15">
      <c r="A383" s="150" t="s">
        <v>11</v>
      </c>
      <c r="B383" s="154" t="s">
        <v>6</v>
      </c>
      <c r="C383" s="135"/>
      <c r="D383" s="61" t="s">
        <v>44</v>
      </c>
      <c r="E383" s="62"/>
      <c r="F383" s="63" t="s">
        <v>4</v>
      </c>
      <c r="G383" s="64">
        <f>SUM(G384:G386)</f>
        <v>300000</v>
      </c>
      <c r="H383" s="83" t="s">
        <v>4</v>
      </c>
      <c r="I383" s="64">
        <f>SUM(I384:I386)</f>
        <v>0</v>
      </c>
      <c r="J383" s="82" t="s">
        <v>4</v>
      </c>
      <c r="K383" s="64">
        <f>SUM(K384:K386)</f>
        <v>0</v>
      </c>
      <c r="L383" s="82" t="s">
        <v>4</v>
      </c>
      <c r="M383" s="64">
        <f>SUM(M384:M386)</f>
        <v>0</v>
      </c>
      <c r="N383" s="82" t="s">
        <v>4</v>
      </c>
      <c r="O383" s="64">
        <f>SUM(O384:O386)</f>
        <v>0</v>
      </c>
      <c r="P383" s="27"/>
      <c r="Q383" s="27"/>
      <c r="R383" s="28"/>
      <c r="S383" s="28"/>
    </row>
    <row r="384" spans="1:19" s="29" customFormat="1" ht="15" customHeight="1" x14ac:dyDescent="0.15">
      <c r="A384" s="149"/>
      <c r="B384" s="152"/>
      <c r="C384" s="136"/>
      <c r="D384" s="57" t="s">
        <v>45</v>
      </c>
      <c r="E384" s="58">
        <v>800000</v>
      </c>
      <c r="F384" s="54" t="s">
        <v>5</v>
      </c>
      <c r="G384" s="78">
        <v>120000</v>
      </c>
      <c r="H384" s="54" t="s">
        <v>5</v>
      </c>
      <c r="I384" s="78"/>
      <c r="J384" s="52" t="s">
        <v>5</v>
      </c>
      <c r="K384" s="79"/>
      <c r="L384" s="52" t="s">
        <v>5</v>
      </c>
      <c r="M384" s="79"/>
      <c r="N384" s="70" t="s">
        <v>5</v>
      </c>
      <c r="O384" s="71">
        <f>I384-K384-M384</f>
        <v>0</v>
      </c>
      <c r="P384" s="27"/>
      <c r="Q384" s="27"/>
      <c r="R384" s="28"/>
      <c r="S384" s="28"/>
    </row>
    <row r="385" spans="1:19" s="29" customFormat="1" ht="15" customHeight="1" x14ac:dyDescent="0.15">
      <c r="A385" s="150" t="s">
        <v>78</v>
      </c>
      <c r="B385" s="152" t="s">
        <v>7</v>
      </c>
      <c r="C385" s="136"/>
      <c r="D385" s="57" t="s">
        <v>46</v>
      </c>
      <c r="E385" s="58"/>
      <c r="F385" s="55" t="s">
        <v>17</v>
      </c>
      <c r="G385" s="78">
        <v>90000</v>
      </c>
      <c r="H385" s="54" t="s">
        <v>17</v>
      </c>
      <c r="I385" s="78"/>
      <c r="J385" s="52" t="s">
        <v>17</v>
      </c>
      <c r="K385" s="79"/>
      <c r="L385" s="52" t="s">
        <v>17</v>
      </c>
      <c r="M385" s="79"/>
      <c r="N385" s="70" t="s">
        <v>17</v>
      </c>
      <c r="O385" s="71">
        <f>I385-K385-M385</f>
        <v>0</v>
      </c>
      <c r="P385" s="27"/>
      <c r="Q385" s="27"/>
      <c r="R385" s="28"/>
      <c r="S385" s="28"/>
    </row>
    <row r="386" spans="1:19" s="29" customFormat="1" ht="15" customHeight="1" x14ac:dyDescent="0.15">
      <c r="A386" s="149"/>
      <c r="B386" s="153"/>
      <c r="C386" s="137"/>
      <c r="D386" s="59" t="s">
        <v>47</v>
      </c>
      <c r="E386" s="60"/>
      <c r="F386" s="56" t="s">
        <v>18</v>
      </c>
      <c r="G386" s="80">
        <v>90000</v>
      </c>
      <c r="H386" s="56" t="s">
        <v>18</v>
      </c>
      <c r="I386" s="80"/>
      <c r="J386" s="53" t="s">
        <v>18</v>
      </c>
      <c r="K386" s="81"/>
      <c r="L386" s="53" t="s">
        <v>18</v>
      </c>
      <c r="M386" s="81"/>
      <c r="N386" s="72" t="s">
        <v>18</v>
      </c>
      <c r="O386" s="73">
        <f>I386-K386-M386</f>
        <v>0</v>
      </c>
      <c r="P386" s="27"/>
      <c r="Q386" s="27"/>
      <c r="R386" s="28"/>
      <c r="S386" s="28"/>
    </row>
    <row r="387" spans="1:19" s="29" customFormat="1" ht="15" customHeight="1" x14ac:dyDescent="0.15">
      <c r="A387" s="150" t="s">
        <v>11</v>
      </c>
      <c r="B387" s="154" t="s">
        <v>58</v>
      </c>
      <c r="C387" s="135"/>
      <c r="D387" s="61" t="s">
        <v>44</v>
      </c>
      <c r="E387" s="62"/>
      <c r="F387" s="63" t="s">
        <v>4</v>
      </c>
      <c r="G387" s="64">
        <f>SUM(G388:G390)</f>
        <v>20200000</v>
      </c>
      <c r="H387" s="83" t="s">
        <v>4</v>
      </c>
      <c r="I387" s="64">
        <f>SUM(I388:I390)</f>
        <v>0</v>
      </c>
      <c r="J387" s="82" t="s">
        <v>4</v>
      </c>
      <c r="K387" s="64">
        <f>SUM(K388:K390)</f>
        <v>0</v>
      </c>
      <c r="L387" s="82" t="s">
        <v>4</v>
      </c>
      <c r="M387" s="64">
        <f>SUM(M388:M390)</f>
        <v>0</v>
      </c>
      <c r="N387" s="82" t="s">
        <v>4</v>
      </c>
      <c r="O387" s="64">
        <f>SUM(O388:O390)</f>
        <v>0</v>
      </c>
      <c r="P387" s="27"/>
      <c r="Q387" s="27"/>
      <c r="R387" s="28"/>
      <c r="S387" s="28"/>
    </row>
    <row r="388" spans="1:19" s="29" customFormat="1" ht="15" customHeight="1" x14ac:dyDescent="0.15">
      <c r="A388" s="149"/>
      <c r="B388" s="152"/>
      <c r="C388" s="136"/>
      <c r="D388" s="57" t="s">
        <v>45</v>
      </c>
      <c r="E388" s="58">
        <v>11900000</v>
      </c>
      <c r="F388" s="54" t="s">
        <v>5</v>
      </c>
      <c r="G388" s="78">
        <v>8080000</v>
      </c>
      <c r="H388" s="54" t="s">
        <v>5</v>
      </c>
      <c r="I388" s="78"/>
      <c r="J388" s="52" t="s">
        <v>5</v>
      </c>
      <c r="K388" s="79"/>
      <c r="L388" s="52" t="s">
        <v>5</v>
      </c>
      <c r="M388" s="79"/>
      <c r="N388" s="70" t="s">
        <v>5</v>
      </c>
      <c r="O388" s="71">
        <f>I388-K388-M388</f>
        <v>0</v>
      </c>
      <c r="P388" s="27"/>
      <c r="Q388" s="27"/>
      <c r="R388" s="28"/>
      <c r="S388" s="28"/>
    </row>
    <row r="389" spans="1:19" s="29" customFormat="1" ht="15" customHeight="1" x14ac:dyDescent="0.15">
      <c r="A389" s="150" t="s">
        <v>78</v>
      </c>
      <c r="B389" s="152" t="s">
        <v>59</v>
      </c>
      <c r="C389" s="136"/>
      <c r="D389" s="57" t="s">
        <v>46</v>
      </c>
      <c r="E389" s="58"/>
      <c r="F389" s="55" t="s">
        <v>17</v>
      </c>
      <c r="G389" s="78">
        <v>6060000</v>
      </c>
      <c r="H389" s="54" t="s">
        <v>17</v>
      </c>
      <c r="I389" s="78"/>
      <c r="J389" s="52" t="s">
        <v>17</v>
      </c>
      <c r="K389" s="79"/>
      <c r="L389" s="52" t="s">
        <v>17</v>
      </c>
      <c r="M389" s="79"/>
      <c r="N389" s="70" t="s">
        <v>17</v>
      </c>
      <c r="O389" s="71">
        <f>I389-K389-M389</f>
        <v>0</v>
      </c>
      <c r="P389" s="27"/>
      <c r="Q389" s="27"/>
      <c r="R389" s="28"/>
      <c r="S389" s="28"/>
    </row>
    <row r="390" spans="1:19" s="29" customFormat="1" ht="15" customHeight="1" x14ac:dyDescent="0.15">
      <c r="A390" s="149"/>
      <c r="B390" s="153"/>
      <c r="C390" s="137"/>
      <c r="D390" s="59" t="s">
        <v>47</v>
      </c>
      <c r="E390" s="60"/>
      <c r="F390" s="56" t="s">
        <v>18</v>
      </c>
      <c r="G390" s="80">
        <v>6060000</v>
      </c>
      <c r="H390" s="56" t="s">
        <v>18</v>
      </c>
      <c r="I390" s="80"/>
      <c r="J390" s="53" t="s">
        <v>18</v>
      </c>
      <c r="K390" s="81"/>
      <c r="L390" s="53" t="s">
        <v>18</v>
      </c>
      <c r="M390" s="81"/>
      <c r="N390" s="72" t="s">
        <v>18</v>
      </c>
      <c r="O390" s="73">
        <f>I390-K390-M390</f>
        <v>0</v>
      </c>
      <c r="P390" s="27"/>
      <c r="Q390" s="27"/>
      <c r="R390" s="28"/>
      <c r="S390" s="28"/>
    </row>
    <row r="391" spans="1:19" s="29" customFormat="1" ht="15" customHeight="1" x14ac:dyDescent="0.15">
      <c r="A391" s="150" t="s">
        <v>11</v>
      </c>
      <c r="B391" s="154" t="s">
        <v>58</v>
      </c>
      <c r="C391" s="135"/>
      <c r="D391" s="61" t="s">
        <v>44</v>
      </c>
      <c r="E391" s="62"/>
      <c r="F391" s="63" t="s">
        <v>4</v>
      </c>
      <c r="G391" s="64">
        <f>SUM(G392:G394)</f>
        <v>23870000</v>
      </c>
      <c r="H391" s="83" t="s">
        <v>4</v>
      </c>
      <c r="I391" s="64">
        <f>SUM(I392:I394)</f>
        <v>0</v>
      </c>
      <c r="J391" s="82" t="s">
        <v>4</v>
      </c>
      <c r="K391" s="64">
        <f>SUM(K392:K394)</f>
        <v>0</v>
      </c>
      <c r="L391" s="82" t="s">
        <v>4</v>
      </c>
      <c r="M391" s="64">
        <f>SUM(M392:M394)</f>
        <v>0</v>
      </c>
      <c r="N391" s="82" t="s">
        <v>4</v>
      </c>
      <c r="O391" s="64">
        <f>SUM(O392:O394)</f>
        <v>0</v>
      </c>
      <c r="P391" s="27"/>
      <c r="Q391" s="27"/>
      <c r="R391" s="28"/>
      <c r="S391" s="28"/>
    </row>
    <row r="392" spans="1:19" s="29" customFormat="1" ht="15" customHeight="1" x14ac:dyDescent="0.15">
      <c r="A392" s="149"/>
      <c r="B392" s="152"/>
      <c r="C392" s="136"/>
      <c r="D392" s="57" t="s">
        <v>45</v>
      </c>
      <c r="E392" s="58">
        <v>4000000</v>
      </c>
      <c r="F392" s="54" t="s">
        <v>5</v>
      </c>
      <c r="G392" s="78">
        <v>9550000</v>
      </c>
      <c r="H392" s="54" t="s">
        <v>5</v>
      </c>
      <c r="I392" s="78"/>
      <c r="J392" s="52" t="s">
        <v>5</v>
      </c>
      <c r="K392" s="79"/>
      <c r="L392" s="52" t="s">
        <v>5</v>
      </c>
      <c r="M392" s="79"/>
      <c r="N392" s="70" t="s">
        <v>5</v>
      </c>
      <c r="O392" s="71">
        <f>I392-K392-M392</f>
        <v>0</v>
      </c>
      <c r="P392" s="27"/>
      <c r="Q392" s="27"/>
      <c r="R392" s="28"/>
      <c r="S392" s="28"/>
    </row>
    <row r="393" spans="1:19" s="29" customFormat="1" ht="15" customHeight="1" x14ac:dyDescent="0.15">
      <c r="A393" s="150" t="s">
        <v>79</v>
      </c>
      <c r="B393" s="152" t="s">
        <v>59</v>
      </c>
      <c r="C393" s="136"/>
      <c r="D393" s="57" t="s">
        <v>46</v>
      </c>
      <c r="E393" s="58"/>
      <c r="F393" s="55" t="s">
        <v>17</v>
      </c>
      <c r="G393" s="78">
        <v>7160000</v>
      </c>
      <c r="H393" s="54" t="s">
        <v>17</v>
      </c>
      <c r="I393" s="78"/>
      <c r="J393" s="52" t="s">
        <v>17</v>
      </c>
      <c r="K393" s="79"/>
      <c r="L393" s="52" t="s">
        <v>17</v>
      </c>
      <c r="M393" s="79"/>
      <c r="N393" s="70" t="s">
        <v>17</v>
      </c>
      <c r="O393" s="71">
        <f>I393-K393-M393</f>
        <v>0</v>
      </c>
      <c r="P393" s="27"/>
      <c r="Q393" s="27"/>
      <c r="R393" s="28"/>
      <c r="S393" s="28"/>
    </row>
    <row r="394" spans="1:19" s="29" customFormat="1" ht="15" customHeight="1" x14ac:dyDescent="0.15">
      <c r="A394" s="149"/>
      <c r="B394" s="153"/>
      <c r="C394" s="137"/>
      <c r="D394" s="59" t="s">
        <v>47</v>
      </c>
      <c r="E394" s="60"/>
      <c r="F394" s="56" t="s">
        <v>18</v>
      </c>
      <c r="G394" s="80">
        <v>7160000</v>
      </c>
      <c r="H394" s="56" t="s">
        <v>18</v>
      </c>
      <c r="I394" s="80"/>
      <c r="J394" s="53" t="s">
        <v>18</v>
      </c>
      <c r="K394" s="81"/>
      <c r="L394" s="53" t="s">
        <v>18</v>
      </c>
      <c r="M394" s="81"/>
      <c r="N394" s="72" t="s">
        <v>18</v>
      </c>
      <c r="O394" s="73">
        <f>I394-K394-M394</f>
        <v>0</v>
      </c>
      <c r="P394" s="27"/>
      <c r="Q394" s="27"/>
      <c r="R394" s="28"/>
      <c r="S394" s="28"/>
    </row>
    <row r="395" spans="1:19" s="29" customFormat="1" ht="15" customHeight="1" x14ac:dyDescent="0.15">
      <c r="A395" s="150" t="s">
        <v>11</v>
      </c>
      <c r="B395" s="154" t="s">
        <v>174</v>
      </c>
      <c r="C395" s="135"/>
      <c r="D395" s="61" t="s">
        <v>44</v>
      </c>
      <c r="E395" s="62"/>
      <c r="F395" s="63" t="s">
        <v>4</v>
      </c>
      <c r="G395" s="64">
        <f>SUM(G396:G398)</f>
        <v>148656000</v>
      </c>
      <c r="H395" s="83" t="s">
        <v>4</v>
      </c>
      <c r="I395" s="64">
        <f>SUM(I396:I398)</f>
        <v>0</v>
      </c>
      <c r="J395" s="82" t="s">
        <v>4</v>
      </c>
      <c r="K395" s="64">
        <f>SUM(K396:K398)</f>
        <v>0</v>
      </c>
      <c r="L395" s="82" t="s">
        <v>4</v>
      </c>
      <c r="M395" s="64">
        <f>SUM(M396:M398)</f>
        <v>0</v>
      </c>
      <c r="N395" s="82" t="s">
        <v>4</v>
      </c>
      <c r="O395" s="64">
        <f>SUM(O396:O398)</f>
        <v>0</v>
      </c>
      <c r="P395" s="27"/>
      <c r="Q395" s="27"/>
      <c r="R395" s="28"/>
      <c r="S395" s="28"/>
    </row>
    <row r="396" spans="1:19" s="29" customFormat="1" ht="15" customHeight="1" x14ac:dyDescent="0.15">
      <c r="A396" s="149"/>
      <c r="B396" s="152"/>
      <c r="C396" s="136"/>
      <c r="D396" s="57" t="s">
        <v>45</v>
      </c>
      <c r="E396" s="58">
        <v>5600000</v>
      </c>
      <c r="F396" s="54" t="s">
        <v>5</v>
      </c>
      <c r="G396" s="78">
        <v>74328000</v>
      </c>
      <c r="H396" s="54" t="s">
        <v>5</v>
      </c>
      <c r="I396" s="78"/>
      <c r="J396" s="52" t="s">
        <v>5</v>
      </c>
      <c r="K396" s="79"/>
      <c r="L396" s="52" t="s">
        <v>5</v>
      </c>
      <c r="M396" s="79"/>
      <c r="N396" s="70" t="s">
        <v>5</v>
      </c>
      <c r="O396" s="71">
        <f>I396-K396-M396</f>
        <v>0</v>
      </c>
      <c r="P396" s="27"/>
      <c r="Q396" s="27"/>
      <c r="R396" s="28"/>
      <c r="S396" s="28"/>
    </row>
    <row r="397" spans="1:19" s="29" customFormat="1" ht="15" customHeight="1" x14ac:dyDescent="0.15">
      <c r="A397" s="150" t="s">
        <v>173</v>
      </c>
      <c r="B397" s="152" t="s">
        <v>175</v>
      </c>
      <c r="C397" s="136"/>
      <c r="D397" s="57" t="s">
        <v>46</v>
      </c>
      <c r="E397" s="58"/>
      <c r="F397" s="55" t="s">
        <v>17</v>
      </c>
      <c r="G397" s="78">
        <v>74328000</v>
      </c>
      <c r="H397" s="54" t="s">
        <v>17</v>
      </c>
      <c r="I397" s="78"/>
      <c r="J397" s="52" t="s">
        <v>17</v>
      </c>
      <c r="K397" s="79"/>
      <c r="L397" s="52" t="s">
        <v>17</v>
      </c>
      <c r="M397" s="79"/>
      <c r="N397" s="70" t="s">
        <v>17</v>
      </c>
      <c r="O397" s="71">
        <f>I397-K397-M397</f>
        <v>0</v>
      </c>
      <c r="P397" s="27"/>
      <c r="Q397" s="27"/>
      <c r="R397" s="28"/>
      <c r="S397" s="28"/>
    </row>
    <row r="398" spans="1:19" s="29" customFormat="1" ht="15" customHeight="1" x14ac:dyDescent="0.15">
      <c r="A398" s="149"/>
      <c r="B398" s="149"/>
      <c r="C398" s="137"/>
      <c r="D398" s="59" t="s">
        <v>47</v>
      </c>
      <c r="E398" s="60"/>
      <c r="F398" s="56" t="s">
        <v>18</v>
      </c>
      <c r="G398" s="80"/>
      <c r="H398" s="56" t="s">
        <v>18</v>
      </c>
      <c r="I398" s="80"/>
      <c r="J398" s="53" t="s">
        <v>18</v>
      </c>
      <c r="K398" s="81"/>
      <c r="L398" s="53" t="s">
        <v>18</v>
      </c>
      <c r="M398" s="81"/>
      <c r="N398" s="72" t="s">
        <v>18</v>
      </c>
      <c r="O398" s="73">
        <f>I398-K398-M398</f>
        <v>0</v>
      </c>
      <c r="P398" s="27"/>
      <c r="Q398" s="27"/>
      <c r="R398" s="28"/>
      <c r="S398" s="28"/>
    </row>
    <row r="399" spans="1:19" s="29" customFormat="1" ht="15" customHeight="1" x14ac:dyDescent="0.15">
      <c r="A399" s="150" t="s">
        <v>11</v>
      </c>
      <c r="B399" s="150" t="s">
        <v>28</v>
      </c>
      <c r="C399" s="135"/>
      <c r="D399" s="11"/>
      <c r="E399" s="12"/>
      <c r="F399" s="63" t="s">
        <v>4</v>
      </c>
      <c r="G399" s="64">
        <f>SUM(G400:G402)</f>
        <v>22980000</v>
      </c>
      <c r="H399" s="83" t="s">
        <v>4</v>
      </c>
      <c r="I399" s="64">
        <f>SUM(I400:I402)</f>
        <v>0</v>
      </c>
      <c r="J399" s="82" t="s">
        <v>4</v>
      </c>
      <c r="K399" s="64">
        <f>SUM(K400:K402)</f>
        <v>0</v>
      </c>
      <c r="L399" s="82" t="s">
        <v>4</v>
      </c>
      <c r="M399" s="64">
        <f>SUM(M400:M402)</f>
        <v>0</v>
      </c>
      <c r="N399" s="82" t="s">
        <v>4</v>
      </c>
      <c r="O399" s="64">
        <f>SUM(O400:O402)</f>
        <v>0</v>
      </c>
      <c r="P399" s="27"/>
      <c r="Q399" s="27"/>
      <c r="R399" s="28"/>
      <c r="S399" s="28"/>
    </row>
    <row r="400" spans="1:19" s="29" customFormat="1" ht="15" customHeight="1" x14ac:dyDescent="0.15">
      <c r="A400" s="149"/>
      <c r="B400" s="152"/>
      <c r="C400" s="136"/>
      <c r="D400" s="11"/>
      <c r="E400" s="12"/>
      <c r="F400" s="54" t="s">
        <v>5</v>
      </c>
      <c r="G400" s="78">
        <v>11490000</v>
      </c>
      <c r="H400" s="54" t="s">
        <v>5</v>
      </c>
      <c r="I400" s="78"/>
      <c r="J400" s="52" t="s">
        <v>5</v>
      </c>
      <c r="K400" s="79"/>
      <c r="L400" s="52" t="s">
        <v>5</v>
      </c>
      <c r="M400" s="79"/>
      <c r="N400" s="70" t="s">
        <v>5</v>
      </c>
      <c r="O400" s="71">
        <f>I400-K400-M400</f>
        <v>0</v>
      </c>
      <c r="P400" s="27"/>
      <c r="Q400" s="27"/>
      <c r="R400" s="28"/>
      <c r="S400" s="28"/>
    </row>
    <row r="401" spans="1:19" s="29" customFormat="1" ht="15" customHeight="1" x14ac:dyDescent="0.15">
      <c r="A401" s="150" t="s">
        <v>80</v>
      </c>
      <c r="B401" s="152" t="s">
        <v>29</v>
      </c>
      <c r="C401" s="136"/>
      <c r="D401" s="11"/>
      <c r="E401" s="12"/>
      <c r="F401" s="55" t="s">
        <v>17</v>
      </c>
      <c r="G401" s="78">
        <v>11490000</v>
      </c>
      <c r="H401" s="54" t="s">
        <v>17</v>
      </c>
      <c r="I401" s="78"/>
      <c r="J401" s="52" t="s">
        <v>17</v>
      </c>
      <c r="K401" s="79"/>
      <c r="L401" s="52" t="s">
        <v>17</v>
      </c>
      <c r="M401" s="79"/>
      <c r="N401" s="70" t="s">
        <v>17</v>
      </c>
      <c r="O401" s="71">
        <f>I401-K401-M401</f>
        <v>0</v>
      </c>
      <c r="P401" s="27"/>
      <c r="Q401" s="27"/>
      <c r="R401" s="28"/>
      <c r="S401" s="28"/>
    </row>
    <row r="402" spans="1:19" s="29" customFormat="1" ht="15" customHeight="1" x14ac:dyDescent="0.15">
      <c r="A402" s="149"/>
      <c r="B402" s="149"/>
      <c r="C402" s="137"/>
      <c r="D402" s="11"/>
      <c r="E402" s="12"/>
      <c r="F402" s="56" t="s">
        <v>18</v>
      </c>
      <c r="G402" s="80"/>
      <c r="H402" s="56" t="s">
        <v>18</v>
      </c>
      <c r="I402" s="80"/>
      <c r="J402" s="53" t="s">
        <v>18</v>
      </c>
      <c r="K402" s="81"/>
      <c r="L402" s="53" t="s">
        <v>18</v>
      </c>
      <c r="M402" s="81"/>
      <c r="N402" s="72" t="s">
        <v>18</v>
      </c>
      <c r="O402" s="73">
        <f>I402-K402-M402</f>
        <v>0</v>
      </c>
      <c r="P402" s="27"/>
      <c r="Q402" s="27"/>
      <c r="R402" s="28"/>
      <c r="S402" s="28"/>
    </row>
    <row r="403" spans="1:19" s="29" customFormat="1" ht="15" customHeight="1" x14ac:dyDescent="0.15">
      <c r="A403" s="150" t="s">
        <v>11</v>
      </c>
      <c r="B403" s="150" t="s">
        <v>28</v>
      </c>
      <c r="C403" s="135"/>
      <c r="D403" s="61" t="s">
        <v>44</v>
      </c>
      <c r="E403" s="62"/>
      <c r="F403" s="63" t="s">
        <v>4</v>
      </c>
      <c r="G403" s="64">
        <f>SUM(G404:G406)</f>
        <v>96800000</v>
      </c>
      <c r="H403" s="83" t="s">
        <v>4</v>
      </c>
      <c r="I403" s="64">
        <f>SUM(I404:I406)</f>
        <v>0</v>
      </c>
      <c r="J403" s="82" t="s">
        <v>4</v>
      </c>
      <c r="K403" s="64">
        <f>SUM(K404:K406)</f>
        <v>0</v>
      </c>
      <c r="L403" s="82" t="s">
        <v>4</v>
      </c>
      <c r="M403" s="64">
        <f>SUM(M404:M406)</f>
        <v>0</v>
      </c>
      <c r="N403" s="82" t="s">
        <v>4</v>
      </c>
      <c r="O403" s="64">
        <f>SUM(O404:O406)</f>
        <v>0</v>
      </c>
      <c r="P403" s="27"/>
      <c r="Q403" s="27"/>
      <c r="R403" s="28"/>
      <c r="S403" s="28"/>
    </row>
    <row r="404" spans="1:19" s="29" customFormat="1" ht="15" customHeight="1" x14ac:dyDescent="0.15">
      <c r="A404" s="149"/>
      <c r="B404" s="152"/>
      <c r="C404" s="136"/>
      <c r="D404" s="57" t="s">
        <v>45</v>
      </c>
      <c r="E404" s="58"/>
      <c r="F404" s="54" t="s">
        <v>5</v>
      </c>
      <c r="G404" s="78">
        <v>48400000</v>
      </c>
      <c r="H404" s="54" t="s">
        <v>5</v>
      </c>
      <c r="I404" s="78"/>
      <c r="J404" s="52" t="s">
        <v>5</v>
      </c>
      <c r="K404" s="79"/>
      <c r="L404" s="52" t="s">
        <v>5</v>
      </c>
      <c r="M404" s="79"/>
      <c r="N404" s="70" t="s">
        <v>5</v>
      </c>
      <c r="O404" s="71">
        <f>I404-K404-M404</f>
        <v>0</v>
      </c>
      <c r="P404" s="27"/>
      <c r="Q404" s="27"/>
      <c r="R404" s="28"/>
      <c r="S404" s="28"/>
    </row>
    <row r="405" spans="1:19" s="29" customFormat="1" ht="15" customHeight="1" x14ac:dyDescent="0.15">
      <c r="A405" s="150" t="s">
        <v>176</v>
      </c>
      <c r="B405" s="152" t="s">
        <v>29</v>
      </c>
      <c r="C405" s="136"/>
      <c r="D405" s="57" t="s">
        <v>46</v>
      </c>
      <c r="E405" s="58"/>
      <c r="F405" s="55" t="s">
        <v>17</v>
      </c>
      <c r="G405" s="78">
        <v>24200000</v>
      </c>
      <c r="H405" s="54" t="s">
        <v>17</v>
      </c>
      <c r="I405" s="78"/>
      <c r="J405" s="52" t="s">
        <v>17</v>
      </c>
      <c r="K405" s="79"/>
      <c r="L405" s="52" t="s">
        <v>17</v>
      </c>
      <c r="M405" s="79"/>
      <c r="N405" s="70" t="s">
        <v>17</v>
      </c>
      <c r="O405" s="71">
        <f>I405-K405-M405</f>
        <v>0</v>
      </c>
      <c r="P405" s="27"/>
      <c r="Q405" s="27"/>
      <c r="R405" s="28"/>
      <c r="S405" s="28"/>
    </row>
    <row r="406" spans="1:19" s="29" customFormat="1" ht="15" customHeight="1" x14ac:dyDescent="0.15">
      <c r="A406" s="149"/>
      <c r="B406" s="149"/>
      <c r="C406" s="137"/>
      <c r="D406" s="59" t="s">
        <v>47</v>
      </c>
      <c r="E406" s="60"/>
      <c r="F406" s="56" t="s">
        <v>18</v>
      </c>
      <c r="G406" s="80">
        <v>24200000</v>
      </c>
      <c r="H406" s="56" t="s">
        <v>18</v>
      </c>
      <c r="I406" s="80"/>
      <c r="J406" s="53" t="s">
        <v>18</v>
      </c>
      <c r="K406" s="81"/>
      <c r="L406" s="53" t="s">
        <v>18</v>
      </c>
      <c r="M406" s="81"/>
      <c r="N406" s="72" t="s">
        <v>18</v>
      </c>
      <c r="O406" s="73">
        <f>I406-K406-M406</f>
        <v>0</v>
      </c>
      <c r="P406" s="27"/>
      <c r="Q406" s="27"/>
      <c r="R406" s="28"/>
      <c r="S406" s="28"/>
    </row>
    <row r="407" spans="1:19" s="29" customFormat="1" ht="15" customHeight="1" x14ac:dyDescent="0.15">
      <c r="A407" s="150" t="s">
        <v>11</v>
      </c>
      <c r="B407" s="150" t="s">
        <v>28</v>
      </c>
      <c r="C407" s="135"/>
      <c r="D407" s="61" t="s">
        <v>44</v>
      </c>
      <c r="E407" s="62"/>
      <c r="F407" s="63" t="s">
        <v>4</v>
      </c>
      <c r="G407" s="64">
        <f>SUM(G408:G410)</f>
        <v>154680000</v>
      </c>
      <c r="H407" s="83" t="s">
        <v>4</v>
      </c>
      <c r="I407" s="64">
        <f>SUM(I408:I410)</f>
        <v>0</v>
      </c>
      <c r="J407" s="82" t="s">
        <v>4</v>
      </c>
      <c r="K407" s="64">
        <f>SUM(K408:K410)</f>
        <v>0</v>
      </c>
      <c r="L407" s="82" t="s">
        <v>4</v>
      </c>
      <c r="M407" s="64">
        <f>SUM(M408:M410)</f>
        <v>0</v>
      </c>
      <c r="N407" s="82" t="s">
        <v>4</v>
      </c>
      <c r="O407" s="64">
        <f>SUM(O408:O410)</f>
        <v>0</v>
      </c>
      <c r="P407" s="27"/>
      <c r="Q407" s="27"/>
      <c r="R407" s="28"/>
      <c r="S407" s="28"/>
    </row>
    <row r="408" spans="1:19" s="29" customFormat="1" ht="15" customHeight="1" x14ac:dyDescent="0.15">
      <c r="A408" s="149"/>
      <c r="B408" s="152"/>
      <c r="C408" s="136"/>
      <c r="D408" s="57" t="s">
        <v>45</v>
      </c>
      <c r="E408" s="58"/>
      <c r="F408" s="54" t="s">
        <v>5</v>
      </c>
      <c r="G408" s="78"/>
      <c r="H408" s="54" t="s">
        <v>5</v>
      </c>
      <c r="I408" s="78"/>
      <c r="J408" s="52" t="s">
        <v>5</v>
      </c>
      <c r="K408" s="79"/>
      <c r="L408" s="52" t="s">
        <v>5</v>
      </c>
      <c r="M408" s="79"/>
      <c r="N408" s="70" t="s">
        <v>5</v>
      </c>
      <c r="O408" s="71">
        <f>I408-K408-M408</f>
        <v>0</v>
      </c>
      <c r="P408" s="27"/>
      <c r="Q408" s="27"/>
      <c r="R408" s="28"/>
      <c r="S408" s="28"/>
    </row>
    <row r="409" spans="1:19" s="29" customFormat="1" ht="15" customHeight="1" x14ac:dyDescent="0.15">
      <c r="A409" s="150" t="s">
        <v>177</v>
      </c>
      <c r="B409" s="152" t="s">
        <v>29</v>
      </c>
      <c r="C409" s="136"/>
      <c r="D409" s="57" t="s">
        <v>46</v>
      </c>
      <c r="E409" s="58"/>
      <c r="F409" s="55" t="s">
        <v>17</v>
      </c>
      <c r="G409" s="78">
        <v>77340000</v>
      </c>
      <c r="H409" s="54" t="s">
        <v>17</v>
      </c>
      <c r="I409" s="78"/>
      <c r="J409" s="52" t="s">
        <v>17</v>
      </c>
      <c r="K409" s="79"/>
      <c r="L409" s="52" t="s">
        <v>17</v>
      </c>
      <c r="M409" s="79"/>
      <c r="N409" s="70" t="s">
        <v>17</v>
      </c>
      <c r="O409" s="71">
        <f>I409-K409-M409</f>
        <v>0</v>
      </c>
      <c r="P409" s="27"/>
      <c r="Q409" s="27"/>
      <c r="R409" s="28"/>
      <c r="S409" s="28"/>
    </row>
    <row r="410" spans="1:19" s="29" customFormat="1" ht="15" customHeight="1" x14ac:dyDescent="0.15">
      <c r="A410" s="149"/>
      <c r="B410" s="149"/>
      <c r="C410" s="137"/>
      <c r="D410" s="59" t="s">
        <v>47</v>
      </c>
      <c r="E410" s="60"/>
      <c r="F410" s="56" t="s">
        <v>18</v>
      </c>
      <c r="G410" s="80">
        <v>77340000</v>
      </c>
      <c r="H410" s="56" t="s">
        <v>18</v>
      </c>
      <c r="I410" s="80"/>
      <c r="J410" s="53" t="s">
        <v>18</v>
      </c>
      <c r="K410" s="81"/>
      <c r="L410" s="53" t="s">
        <v>18</v>
      </c>
      <c r="M410" s="81"/>
      <c r="N410" s="72" t="s">
        <v>18</v>
      </c>
      <c r="O410" s="73">
        <f>I410-K410-M410</f>
        <v>0</v>
      </c>
      <c r="P410" s="27"/>
      <c r="Q410" s="27"/>
      <c r="R410" s="28"/>
      <c r="S410" s="28"/>
    </row>
    <row r="411" spans="1:19" s="29" customFormat="1" ht="15" customHeight="1" x14ac:dyDescent="0.15">
      <c r="A411" s="150" t="s">
        <v>11</v>
      </c>
      <c r="B411" s="150" t="s">
        <v>28</v>
      </c>
      <c r="C411" s="135"/>
      <c r="D411" s="61" t="s">
        <v>44</v>
      </c>
      <c r="E411" s="62"/>
      <c r="F411" s="63" t="s">
        <v>4</v>
      </c>
      <c r="G411" s="64">
        <f>SUM(G412:G414)</f>
        <v>124794000</v>
      </c>
      <c r="H411" s="83" t="s">
        <v>4</v>
      </c>
      <c r="I411" s="64">
        <f>SUM(I412:I414)</f>
        <v>0</v>
      </c>
      <c r="J411" s="82" t="s">
        <v>4</v>
      </c>
      <c r="K411" s="64">
        <f>SUM(K412:K414)</f>
        <v>0</v>
      </c>
      <c r="L411" s="82" t="s">
        <v>4</v>
      </c>
      <c r="M411" s="64">
        <f>SUM(M412:M414)</f>
        <v>0</v>
      </c>
      <c r="N411" s="82" t="s">
        <v>4</v>
      </c>
      <c r="O411" s="64">
        <f>SUM(O412:O414)</f>
        <v>0</v>
      </c>
      <c r="P411" s="27"/>
      <c r="Q411" s="27"/>
      <c r="R411" s="28"/>
      <c r="S411" s="28"/>
    </row>
    <row r="412" spans="1:19" s="29" customFormat="1" ht="15" customHeight="1" x14ac:dyDescent="0.15">
      <c r="A412" s="149"/>
      <c r="B412" s="152"/>
      <c r="C412" s="136"/>
      <c r="D412" s="57" t="s">
        <v>45</v>
      </c>
      <c r="E412" s="58"/>
      <c r="F412" s="54" t="s">
        <v>5</v>
      </c>
      <c r="G412" s="78">
        <v>87356000</v>
      </c>
      <c r="H412" s="54" t="s">
        <v>5</v>
      </c>
      <c r="I412" s="78"/>
      <c r="J412" s="52" t="s">
        <v>5</v>
      </c>
      <c r="K412" s="79"/>
      <c r="L412" s="52" t="s">
        <v>5</v>
      </c>
      <c r="M412" s="79"/>
      <c r="N412" s="70" t="s">
        <v>5</v>
      </c>
      <c r="O412" s="71">
        <f>I412-K412-M412</f>
        <v>0</v>
      </c>
      <c r="P412" s="27"/>
      <c r="Q412" s="27"/>
      <c r="R412" s="28"/>
      <c r="S412" s="28"/>
    </row>
    <row r="413" spans="1:19" s="29" customFormat="1" ht="15" customHeight="1" x14ac:dyDescent="0.15">
      <c r="A413" s="150" t="s">
        <v>178</v>
      </c>
      <c r="B413" s="152" t="s">
        <v>29</v>
      </c>
      <c r="C413" s="136"/>
      <c r="D413" s="57" t="s">
        <v>46</v>
      </c>
      <c r="E413" s="58"/>
      <c r="F413" s="55" t="s">
        <v>17</v>
      </c>
      <c r="G413" s="78">
        <v>37438000</v>
      </c>
      <c r="H413" s="54" t="s">
        <v>17</v>
      </c>
      <c r="I413" s="78"/>
      <c r="J413" s="52" t="s">
        <v>17</v>
      </c>
      <c r="K413" s="79"/>
      <c r="L413" s="52" t="s">
        <v>17</v>
      </c>
      <c r="M413" s="79"/>
      <c r="N413" s="70" t="s">
        <v>17</v>
      </c>
      <c r="O413" s="71">
        <f>I413-K413-M413</f>
        <v>0</v>
      </c>
      <c r="P413" s="27"/>
      <c r="Q413" s="27"/>
      <c r="R413" s="28"/>
      <c r="S413" s="28"/>
    </row>
    <row r="414" spans="1:19" s="29" customFormat="1" ht="15" customHeight="1" x14ac:dyDescent="0.15">
      <c r="A414" s="149"/>
      <c r="B414" s="149"/>
      <c r="C414" s="137"/>
      <c r="D414" s="59" t="s">
        <v>47</v>
      </c>
      <c r="E414" s="60"/>
      <c r="F414" s="56" t="s">
        <v>18</v>
      </c>
      <c r="G414" s="80"/>
      <c r="H414" s="56" t="s">
        <v>18</v>
      </c>
      <c r="I414" s="80"/>
      <c r="J414" s="53" t="s">
        <v>18</v>
      </c>
      <c r="K414" s="81"/>
      <c r="L414" s="53" t="s">
        <v>18</v>
      </c>
      <c r="M414" s="81"/>
      <c r="N414" s="72" t="s">
        <v>18</v>
      </c>
      <c r="O414" s="73">
        <f>I414-K414-M414</f>
        <v>0</v>
      </c>
      <c r="P414" s="27"/>
      <c r="Q414" s="27"/>
      <c r="R414" s="28"/>
      <c r="S414" s="28"/>
    </row>
    <row r="415" spans="1:19" ht="15" customHeight="1" x14ac:dyDescent="0.15">
      <c r="A415" s="150" t="s">
        <v>11</v>
      </c>
      <c r="B415" s="150" t="s">
        <v>28</v>
      </c>
      <c r="C415" s="135"/>
      <c r="D415" s="61" t="s">
        <v>44</v>
      </c>
      <c r="E415" s="62"/>
      <c r="F415" s="63" t="s">
        <v>4</v>
      </c>
      <c r="G415" s="64">
        <f>SUM(G416:G418)</f>
        <v>2800000</v>
      </c>
      <c r="H415" s="83" t="s">
        <v>4</v>
      </c>
      <c r="I415" s="64">
        <f>SUM(I416:I418)</f>
        <v>0</v>
      </c>
      <c r="J415" s="82" t="s">
        <v>4</v>
      </c>
      <c r="K415" s="64">
        <f>SUM(K416:K418)</f>
        <v>0</v>
      </c>
      <c r="L415" s="82" t="s">
        <v>4</v>
      </c>
      <c r="M415" s="64">
        <f>SUM(M416:M418)</f>
        <v>0</v>
      </c>
      <c r="N415" s="82" t="s">
        <v>4</v>
      </c>
      <c r="O415" s="64">
        <f>SUM(O416:O418)</f>
        <v>0</v>
      </c>
    </row>
    <row r="416" spans="1:19" ht="15" customHeight="1" x14ac:dyDescent="0.15">
      <c r="A416" s="149"/>
      <c r="B416" s="152"/>
      <c r="C416" s="136"/>
      <c r="D416" s="57" t="s">
        <v>45</v>
      </c>
      <c r="E416" s="58"/>
      <c r="F416" s="54" t="s">
        <v>5</v>
      </c>
      <c r="G416" s="78">
        <v>1400000</v>
      </c>
      <c r="H416" s="54" t="s">
        <v>5</v>
      </c>
      <c r="I416" s="78"/>
      <c r="J416" s="52" t="s">
        <v>5</v>
      </c>
      <c r="K416" s="79"/>
      <c r="L416" s="52" t="s">
        <v>5</v>
      </c>
      <c r="M416" s="79"/>
      <c r="N416" s="70" t="s">
        <v>5</v>
      </c>
      <c r="O416" s="71">
        <f>I416-K416-M416</f>
        <v>0</v>
      </c>
    </row>
    <row r="417" spans="1:15" ht="15" customHeight="1" x14ac:dyDescent="0.15">
      <c r="A417" s="150" t="s">
        <v>179</v>
      </c>
      <c r="B417" s="152" t="s">
        <v>29</v>
      </c>
      <c r="C417" s="136"/>
      <c r="D417" s="57" t="s">
        <v>46</v>
      </c>
      <c r="E417" s="58"/>
      <c r="F417" s="55" t="s">
        <v>17</v>
      </c>
      <c r="G417" s="78"/>
      <c r="H417" s="54" t="s">
        <v>17</v>
      </c>
      <c r="I417" s="78"/>
      <c r="J417" s="52" t="s">
        <v>17</v>
      </c>
      <c r="K417" s="79"/>
      <c r="L417" s="52" t="s">
        <v>17</v>
      </c>
      <c r="M417" s="79"/>
      <c r="N417" s="70" t="s">
        <v>17</v>
      </c>
      <c r="O417" s="71">
        <f>I417-K417-M417</f>
        <v>0</v>
      </c>
    </row>
    <row r="418" spans="1:15" ht="15" customHeight="1" x14ac:dyDescent="0.15">
      <c r="A418" s="149"/>
      <c r="B418" s="149"/>
      <c r="C418" s="137"/>
      <c r="D418" s="59" t="s">
        <v>47</v>
      </c>
      <c r="E418" s="60"/>
      <c r="F418" s="56" t="s">
        <v>18</v>
      </c>
      <c r="G418" s="80">
        <v>1400000</v>
      </c>
      <c r="H418" s="56" t="s">
        <v>18</v>
      </c>
      <c r="I418" s="80"/>
      <c r="J418" s="53" t="s">
        <v>18</v>
      </c>
      <c r="K418" s="81"/>
      <c r="L418" s="53" t="s">
        <v>18</v>
      </c>
      <c r="M418" s="81"/>
      <c r="N418" s="72" t="s">
        <v>18</v>
      </c>
      <c r="O418" s="73">
        <f>I418-K418-M418</f>
        <v>0</v>
      </c>
    </row>
    <row r="419" spans="1:15" ht="15" customHeight="1" x14ac:dyDescent="0.15">
      <c r="A419" s="150" t="s">
        <v>11</v>
      </c>
      <c r="B419" s="150" t="s">
        <v>181</v>
      </c>
      <c r="C419" s="135"/>
      <c r="D419" s="61" t="s">
        <v>44</v>
      </c>
      <c r="E419" s="62"/>
      <c r="F419" s="63" t="s">
        <v>4</v>
      </c>
      <c r="G419" s="64">
        <f>SUM(G420:G422)</f>
        <v>182260000</v>
      </c>
      <c r="H419" s="83" t="s">
        <v>4</v>
      </c>
      <c r="I419" s="64">
        <f>SUM(I420:I422)</f>
        <v>0</v>
      </c>
      <c r="J419" s="82" t="s">
        <v>4</v>
      </c>
      <c r="K419" s="64">
        <f>SUM(K420:K422)</f>
        <v>0</v>
      </c>
      <c r="L419" s="82" t="s">
        <v>4</v>
      </c>
      <c r="M419" s="64">
        <f>SUM(M420:M422)</f>
        <v>0</v>
      </c>
      <c r="N419" s="82" t="s">
        <v>4</v>
      </c>
      <c r="O419" s="64">
        <f>SUM(O420:O422)</f>
        <v>0</v>
      </c>
    </row>
    <row r="420" spans="1:15" ht="15" customHeight="1" x14ac:dyDescent="0.15">
      <c r="A420" s="149"/>
      <c r="B420" s="152"/>
      <c r="C420" s="136"/>
      <c r="D420" s="57" t="s">
        <v>45</v>
      </c>
      <c r="E420" s="58"/>
      <c r="F420" s="54" t="s">
        <v>5</v>
      </c>
      <c r="G420" s="78">
        <v>91130000</v>
      </c>
      <c r="H420" s="54" t="s">
        <v>5</v>
      </c>
      <c r="I420" s="78"/>
      <c r="J420" s="52" t="s">
        <v>5</v>
      </c>
      <c r="K420" s="79"/>
      <c r="L420" s="52" t="s">
        <v>5</v>
      </c>
      <c r="M420" s="79"/>
      <c r="N420" s="70" t="s">
        <v>5</v>
      </c>
      <c r="O420" s="71">
        <f>I420-K420-M420</f>
        <v>0</v>
      </c>
    </row>
    <row r="421" spans="1:15" ht="15" customHeight="1" x14ac:dyDescent="0.15">
      <c r="A421" s="150" t="s">
        <v>180</v>
      </c>
      <c r="B421" s="152" t="s">
        <v>182</v>
      </c>
      <c r="C421" s="136"/>
      <c r="D421" s="57" t="s">
        <v>46</v>
      </c>
      <c r="E421" s="58"/>
      <c r="F421" s="55" t="s">
        <v>17</v>
      </c>
      <c r="G421" s="78">
        <v>45565000</v>
      </c>
      <c r="H421" s="54" t="s">
        <v>17</v>
      </c>
      <c r="I421" s="78"/>
      <c r="J421" s="52" t="s">
        <v>17</v>
      </c>
      <c r="K421" s="79"/>
      <c r="L421" s="52" t="s">
        <v>17</v>
      </c>
      <c r="M421" s="79"/>
      <c r="N421" s="70" t="s">
        <v>17</v>
      </c>
      <c r="O421" s="71">
        <f>I421-K421-M421</f>
        <v>0</v>
      </c>
    </row>
    <row r="422" spans="1:15" ht="15" customHeight="1" x14ac:dyDescent="0.15">
      <c r="A422" s="149"/>
      <c r="B422" s="149"/>
      <c r="C422" s="137"/>
      <c r="D422" s="59" t="s">
        <v>47</v>
      </c>
      <c r="E422" s="60"/>
      <c r="F422" s="56" t="s">
        <v>18</v>
      </c>
      <c r="G422" s="80">
        <v>45565000</v>
      </c>
      <c r="H422" s="56" t="s">
        <v>18</v>
      </c>
      <c r="I422" s="80"/>
      <c r="J422" s="53" t="s">
        <v>18</v>
      </c>
      <c r="K422" s="81"/>
      <c r="L422" s="53" t="s">
        <v>18</v>
      </c>
      <c r="M422" s="81"/>
      <c r="N422" s="72" t="s">
        <v>18</v>
      </c>
      <c r="O422" s="73">
        <f>I422-K422-M422</f>
        <v>0</v>
      </c>
    </row>
    <row r="423" spans="1:15" ht="15" customHeight="1" x14ac:dyDescent="0.15">
      <c r="A423" s="150" t="s">
        <v>11</v>
      </c>
      <c r="B423" s="150" t="s">
        <v>28</v>
      </c>
      <c r="C423" s="135"/>
      <c r="D423" s="61" t="s">
        <v>44</v>
      </c>
      <c r="E423" s="62"/>
      <c r="F423" s="63" t="s">
        <v>4</v>
      </c>
      <c r="G423" s="64">
        <f>SUM(G424:G426)</f>
        <v>26946000</v>
      </c>
      <c r="H423" s="83" t="s">
        <v>4</v>
      </c>
      <c r="I423" s="64">
        <f>SUM(I424:I426)</f>
        <v>0</v>
      </c>
      <c r="J423" s="82" t="s">
        <v>4</v>
      </c>
      <c r="K423" s="64">
        <f>SUM(K424:K426)</f>
        <v>0</v>
      </c>
      <c r="L423" s="82" t="s">
        <v>4</v>
      </c>
      <c r="M423" s="64">
        <f>SUM(M424:M426)</f>
        <v>0</v>
      </c>
      <c r="N423" s="82" t="s">
        <v>4</v>
      </c>
      <c r="O423" s="64">
        <f>SUM(O424:O426)</f>
        <v>0</v>
      </c>
    </row>
    <row r="424" spans="1:15" ht="15" customHeight="1" x14ac:dyDescent="0.15">
      <c r="A424" s="149"/>
      <c r="B424" s="152"/>
      <c r="C424" s="136"/>
      <c r="D424" s="57" t="s">
        <v>45</v>
      </c>
      <c r="E424" s="58"/>
      <c r="F424" s="54" t="s">
        <v>5</v>
      </c>
      <c r="G424" s="78"/>
      <c r="H424" s="54" t="s">
        <v>5</v>
      </c>
      <c r="I424" s="78"/>
      <c r="J424" s="52" t="s">
        <v>5</v>
      </c>
      <c r="K424" s="79"/>
      <c r="L424" s="52" t="s">
        <v>5</v>
      </c>
      <c r="M424" s="79"/>
      <c r="N424" s="70" t="s">
        <v>5</v>
      </c>
      <c r="O424" s="71">
        <f>I424-K424-M424</f>
        <v>0</v>
      </c>
    </row>
    <row r="425" spans="1:15" ht="15" customHeight="1" x14ac:dyDescent="0.15">
      <c r="A425" s="150" t="s">
        <v>183</v>
      </c>
      <c r="B425" s="152" t="s">
        <v>29</v>
      </c>
      <c r="C425" s="136"/>
      <c r="D425" s="57" t="s">
        <v>46</v>
      </c>
      <c r="E425" s="58"/>
      <c r="F425" s="55" t="s">
        <v>17</v>
      </c>
      <c r="G425" s="78">
        <v>13473000</v>
      </c>
      <c r="H425" s="54" t="s">
        <v>17</v>
      </c>
      <c r="I425" s="78"/>
      <c r="J425" s="52" t="s">
        <v>17</v>
      </c>
      <c r="K425" s="79"/>
      <c r="L425" s="52" t="s">
        <v>17</v>
      </c>
      <c r="M425" s="79"/>
      <c r="N425" s="70" t="s">
        <v>17</v>
      </c>
      <c r="O425" s="71">
        <f>I425-K425-M425</f>
        <v>0</v>
      </c>
    </row>
    <row r="426" spans="1:15" ht="15" customHeight="1" x14ac:dyDescent="0.15">
      <c r="A426" s="149"/>
      <c r="B426" s="149"/>
      <c r="C426" s="137"/>
      <c r="D426" s="59" t="s">
        <v>47</v>
      </c>
      <c r="E426" s="60"/>
      <c r="F426" s="56" t="s">
        <v>18</v>
      </c>
      <c r="G426" s="80">
        <v>13473000</v>
      </c>
      <c r="H426" s="56" t="s">
        <v>18</v>
      </c>
      <c r="I426" s="80"/>
      <c r="J426" s="53" t="s">
        <v>18</v>
      </c>
      <c r="K426" s="81"/>
      <c r="L426" s="53" t="s">
        <v>18</v>
      </c>
      <c r="M426" s="81"/>
      <c r="N426" s="72" t="s">
        <v>18</v>
      </c>
      <c r="O426" s="73">
        <f>I426-K426-M426</f>
        <v>0</v>
      </c>
    </row>
    <row r="427" spans="1:15" ht="15" customHeight="1" x14ac:dyDescent="0.15">
      <c r="A427" s="150" t="s">
        <v>11</v>
      </c>
      <c r="B427" s="150" t="s">
        <v>169</v>
      </c>
      <c r="C427" s="135"/>
      <c r="D427" s="61" t="s">
        <v>44</v>
      </c>
      <c r="E427" s="62"/>
      <c r="F427" s="63" t="s">
        <v>4</v>
      </c>
      <c r="G427" s="64">
        <f>SUM(G428:G430)</f>
        <v>71000000</v>
      </c>
      <c r="H427" s="83" t="s">
        <v>4</v>
      </c>
      <c r="I427" s="64">
        <f>SUM(I428:I430)</f>
        <v>0</v>
      </c>
      <c r="J427" s="82" t="s">
        <v>4</v>
      </c>
      <c r="K427" s="64">
        <f>SUM(K428:K430)</f>
        <v>0</v>
      </c>
      <c r="L427" s="82" t="s">
        <v>4</v>
      </c>
      <c r="M427" s="64">
        <f>SUM(M428:M430)</f>
        <v>0</v>
      </c>
      <c r="N427" s="82" t="s">
        <v>4</v>
      </c>
      <c r="O427" s="64">
        <f>SUM(O428:O430)</f>
        <v>0</v>
      </c>
    </row>
    <row r="428" spans="1:15" ht="15" customHeight="1" x14ac:dyDescent="0.15">
      <c r="A428" s="149"/>
      <c r="B428" s="152"/>
      <c r="C428" s="136"/>
      <c r="D428" s="57" t="s">
        <v>45</v>
      </c>
      <c r="E428" s="58"/>
      <c r="F428" s="54" t="s">
        <v>5</v>
      </c>
      <c r="G428" s="78">
        <v>35500000</v>
      </c>
      <c r="H428" s="54" t="s">
        <v>5</v>
      </c>
      <c r="I428" s="78"/>
      <c r="J428" s="52" t="s">
        <v>5</v>
      </c>
      <c r="K428" s="79"/>
      <c r="L428" s="52" t="s">
        <v>5</v>
      </c>
      <c r="M428" s="79"/>
      <c r="N428" s="70" t="s">
        <v>5</v>
      </c>
      <c r="O428" s="71">
        <f>I428-K428-M428</f>
        <v>0</v>
      </c>
    </row>
    <row r="429" spans="1:15" ht="15" customHeight="1" x14ac:dyDescent="0.15">
      <c r="A429" s="150" t="s">
        <v>184</v>
      </c>
      <c r="B429" s="152" t="s">
        <v>170</v>
      </c>
      <c r="C429" s="136"/>
      <c r="D429" s="57" t="s">
        <v>46</v>
      </c>
      <c r="E429" s="58"/>
      <c r="F429" s="55" t="s">
        <v>17</v>
      </c>
      <c r="G429" s="78">
        <v>17750000</v>
      </c>
      <c r="H429" s="54" t="s">
        <v>17</v>
      </c>
      <c r="I429" s="78"/>
      <c r="J429" s="52" t="s">
        <v>17</v>
      </c>
      <c r="K429" s="79"/>
      <c r="L429" s="52" t="s">
        <v>17</v>
      </c>
      <c r="M429" s="79"/>
      <c r="N429" s="70" t="s">
        <v>17</v>
      </c>
      <c r="O429" s="71">
        <f>I429-K429-M429</f>
        <v>0</v>
      </c>
    </row>
    <row r="430" spans="1:15" ht="15" customHeight="1" x14ac:dyDescent="0.15">
      <c r="A430" s="149"/>
      <c r="B430" s="149"/>
      <c r="C430" s="137"/>
      <c r="D430" s="59" t="s">
        <v>47</v>
      </c>
      <c r="E430" s="60"/>
      <c r="F430" s="56" t="s">
        <v>18</v>
      </c>
      <c r="G430" s="80">
        <v>17750000</v>
      </c>
      <c r="H430" s="56" t="s">
        <v>18</v>
      </c>
      <c r="I430" s="80"/>
      <c r="J430" s="53" t="s">
        <v>18</v>
      </c>
      <c r="K430" s="81"/>
      <c r="L430" s="53" t="s">
        <v>18</v>
      </c>
      <c r="M430" s="81"/>
      <c r="N430" s="72" t="s">
        <v>18</v>
      </c>
      <c r="O430" s="73">
        <f>I430-K430-M430</f>
        <v>0</v>
      </c>
    </row>
    <row r="431" spans="1:15" ht="15" customHeight="1" x14ac:dyDescent="0.15">
      <c r="A431" s="150" t="s">
        <v>11</v>
      </c>
      <c r="B431" s="150" t="s">
        <v>185</v>
      </c>
      <c r="C431" s="135"/>
      <c r="D431" s="61" t="s">
        <v>44</v>
      </c>
      <c r="E431" s="62"/>
      <c r="F431" s="63" t="s">
        <v>4</v>
      </c>
      <c r="G431" s="64">
        <f>SUM(G432:G434)</f>
        <v>2400000</v>
      </c>
      <c r="H431" s="83" t="s">
        <v>4</v>
      </c>
      <c r="I431" s="64">
        <f>SUM(I432:I434)</f>
        <v>0</v>
      </c>
      <c r="J431" s="82" t="s">
        <v>4</v>
      </c>
      <c r="K431" s="64">
        <f>SUM(K432:K434)</f>
        <v>0</v>
      </c>
      <c r="L431" s="82" t="s">
        <v>4</v>
      </c>
      <c r="M431" s="64">
        <f>SUM(M432:M434)</f>
        <v>0</v>
      </c>
      <c r="N431" s="82" t="s">
        <v>4</v>
      </c>
      <c r="O431" s="64">
        <f>SUM(O432:O434)</f>
        <v>0</v>
      </c>
    </row>
    <row r="432" spans="1:15" ht="15" customHeight="1" x14ac:dyDescent="0.15">
      <c r="A432" s="149"/>
      <c r="B432" s="152"/>
      <c r="C432" s="136"/>
      <c r="D432" s="57" t="s">
        <v>45</v>
      </c>
      <c r="E432" s="58"/>
      <c r="F432" s="54" t="s">
        <v>5</v>
      </c>
      <c r="G432" s="78">
        <v>1200000</v>
      </c>
      <c r="H432" s="54" t="s">
        <v>5</v>
      </c>
      <c r="I432" s="78"/>
      <c r="J432" s="52" t="s">
        <v>5</v>
      </c>
      <c r="K432" s="79"/>
      <c r="L432" s="52" t="s">
        <v>5</v>
      </c>
      <c r="M432" s="79"/>
      <c r="N432" s="70" t="s">
        <v>5</v>
      </c>
      <c r="O432" s="71">
        <f>I432-K432-M432</f>
        <v>0</v>
      </c>
    </row>
    <row r="433" spans="1:15" ht="15" customHeight="1" x14ac:dyDescent="0.15">
      <c r="A433" s="150" t="s">
        <v>81</v>
      </c>
      <c r="B433" s="152" t="s">
        <v>186</v>
      </c>
      <c r="C433" s="136"/>
      <c r="D433" s="57" t="s">
        <v>46</v>
      </c>
      <c r="E433" s="58"/>
      <c r="F433" s="55" t="s">
        <v>17</v>
      </c>
      <c r="G433" s="78">
        <v>600000</v>
      </c>
      <c r="H433" s="54" t="s">
        <v>17</v>
      </c>
      <c r="I433" s="78"/>
      <c r="J433" s="52" t="s">
        <v>17</v>
      </c>
      <c r="K433" s="79"/>
      <c r="L433" s="52" t="s">
        <v>17</v>
      </c>
      <c r="M433" s="79"/>
      <c r="N433" s="70" t="s">
        <v>17</v>
      </c>
      <c r="O433" s="71">
        <f>I433-K433-M433</f>
        <v>0</v>
      </c>
    </row>
    <row r="434" spans="1:15" ht="15" customHeight="1" x14ac:dyDescent="0.15">
      <c r="A434" s="149"/>
      <c r="B434" s="149"/>
      <c r="C434" s="137"/>
      <c r="D434" s="59" t="s">
        <v>47</v>
      </c>
      <c r="E434" s="60"/>
      <c r="F434" s="56" t="s">
        <v>18</v>
      </c>
      <c r="G434" s="80">
        <v>600000</v>
      </c>
      <c r="H434" s="56" t="s">
        <v>18</v>
      </c>
      <c r="I434" s="80"/>
      <c r="J434" s="53" t="s">
        <v>18</v>
      </c>
      <c r="K434" s="81"/>
      <c r="L434" s="53" t="s">
        <v>18</v>
      </c>
      <c r="M434" s="81"/>
      <c r="N434" s="72" t="s">
        <v>18</v>
      </c>
      <c r="O434" s="73">
        <f>I434-K434-M434</f>
        <v>0</v>
      </c>
    </row>
    <row r="435" spans="1:15" ht="15" customHeight="1" x14ac:dyDescent="0.15">
      <c r="A435" s="150" t="s">
        <v>11</v>
      </c>
      <c r="B435" s="150" t="s">
        <v>187</v>
      </c>
      <c r="C435" s="135"/>
      <c r="D435" s="61" t="s">
        <v>44</v>
      </c>
      <c r="E435" s="62"/>
      <c r="F435" s="63" t="s">
        <v>4</v>
      </c>
      <c r="G435" s="64">
        <f>SUM(G436:G438)</f>
        <v>20000000</v>
      </c>
      <c r="H435" s="83" t="s">
        <v>4</v>
      </c>
      <c r="I435" s="64">
        <f>SUM(I436:I438)</f>
        <v>0</v>
      </c>
      <c r="J435" s="82" t="s">
        <v>4</v>
      </c>
      <c r="K435" s="64">
        <f>SUM(K436:K438)</f>
        <v>0</v>
      </c>
      <c r="L435" s="82" t="s">
        <v>4</v>
      </c>
      <c r="M435" s="64">
        <f>SUM(M436:M438)</f>
        <v>0</v>
      </c>
      <c r="N435" s="82" t="s">
        <v>4</v>
      </c>
      <c r="O435" s="64">
        <f>SUM(O436:O438)</f>
        <v>0</v>
      </c>
    </row>
    <row r="436" spans="1:15" ht="15" customHeight="1" x14ac:dyDescent="0.15">
      <c r="A436" s="149"/>
      <c r="B436" s="152"/>
      <c r="C436" s="136"/>
      <c r="D436" s="57" t="s">
        <v>45</v>
      </c>
      <c r="E436" s="58"/>
      <c r="F436" s="54" t="s">
        <v>5</v>
      </c>
      <c r="G436" s="78">
        <v>10000000</v>
      </c>
      <c r="H436" s="54" t="s">
        <v>5</v>
      </c>
      <c r="I436" s="78"/>
      <c r="J436" s="52" t="s">
        <v>5</v>
      </c>
      <c r="K436" s="79"/>
      <c r="L436" s="52" t="s">
        <v>5</v>
      </c>
      <c r="M436" s="79"/>
      <c r="N436" s="70" t="s">
        <v>5</v>
      </c>
      <c r="O436" s="71">
        <f>I436-K436-M436</f>
        <v>0</v>
      </c>
    </row>
    <row r="437" spans="1:15" ht="15" customHeight="1" x14ac:dyDescent="0.15">
      <c r="A437" s="150" t="s">
        <v>81</v>
      </c>
      <c r="B437" s="152" t="s">
        <v>188</v>
      </c>
      <c r="C437" s="136"/>
      <c r="D437" s="57" t="s">
        <v>46</v>
      </c>
      <c r="E437" s="58"/>
      <c r="F437" s="55" t="s">
        <v>17</v>
      </c>
      <c r="G437" s="78">
        <v>5000000</v>
      </c>
      <c r="H437" s="54" t="s">
        <v>17</v>
      </c>
      <c r="I437" s="78"/>
      <c r="J437" s="52" t="s">
        <v>17</v>
      </c>
      <c r="K437" s="79"/>
      <c r="L437" s="52" t="s">
        <v>17</v>
      </c>
      <c r="M437" s="79"/>
      <c r="N437" s="70" t="s">
        <v>17</v>
      </c>
      <c r="O437" s="71">
        <f>I437-K437-M437</f>
        <v>0</v>
      </c>
    </row>
    <row r="438" spans="1:15" ht="15" customHeight="1" x14ac:dyDescent="0.15">
      <c r="A438" s="149"/>
      <c r="B438" s="149"/>
      <c r="C438" s="137"/>
      <c r="D438" s="59" t="s">
        <v>47</v>
      </c>
      <c r="E438" s="60"/>
      <c r="F438" s="56" t="s">
        <v>18</v>
      </c>
      <c r="G438" s="80">
        <v>5000000</v>
      </c>
      <c r="H438" s="56" t="s">
        <v>18</v>
      </c>
      <c r="I438" s="80"/>
      <c r="J438" s="53" t="s">
        <v>18</v>
      </c>
      <c r="K438" s="81"/>
      <c r="L438" s="53" t="s">
        <v>18</v>
      </c>
      <c r="M438" s="81"/>
      <c r="N438" s="72" t="s">
        <v>18</v>
      </c>
      <c r="O438" s="73">
        <f>I438-K438-M438</f>
        <v>0</v>
      </c>
    </row>
    <row r="439" spans="1:15" ht="15" customHeight="1" x14ac:dyDescent="0.15">
      <c r="A439" s="150" t="s">
        <v>11</v>
      </c>
      <c r="B439" s="150" t="s">
        <v>189</v>
      </c>
      <c r="C439" s="135"/>
      <c r="D439" s="61" t="s">
        <v>44</v>
      </c>
      <c r="E439" s="62"/>
      <c r="F439" s="63" t="s">
        <v>4</v>
      </c>
      <c r="G439" s="64">
        <f>SUM(G440:G442)</f>
        <v>6600000</v>
      </c>
      <c r="H439" s="83" t="s">
        <v>4</v>
      </c>
      <c r="I439" s="64">
        <f>SUM(I440:I442)</f>
        <v>0</v>
      </c>
      <c r="J439" s="82" t="s">
        <v>4</v>
      </c>
      <c r="K439" s="64">
        <f>SUM(K440:K442)</f>
        <v>0</v>
      </c>
      <c r="L439" s="82" t="s">
        <v>4</v>
      </c>
      <c r="M439" s="64">
        <f>SUM(M440:M442)</f>
        <v>0</v>
      </c>
      <c r="N439" s="82" t="s">
        <v>4</v>
      </c>
      <c r="O439" s="64">
        <f>SUM(O440:O442)</f>
        <v>0</v>
      </c>
    </row>
    <row r="440" spans="1:15" ht="14.25" customHeight="1" x14ac:dyDescent="0.15">
      <c r="A440" s="149"/>
      <c r="B440" s="152"/>
      <c r="C440" s="136"/>
      <c r="D440" s="57" t="s">
        <v>45</v>
      </c>
      <c r="E440" s="58"/>
      <c r="F440" s="54" t="s">
        <v>5</v>
      </c>
      <c r="G440" s="78">
        <v>3300000</v>
      </c>
      <c r="H440" s="54" t="s">
        <v>5</v>
      </c>
      <c r="I440" s="78"/>
      <c r="J440" s="52" t="s">
        <v>5</v>
      </c>
      <c r="K440" s="79"/>
      <c r="L440" s="52" t="s">
        <v>5</v>
      </c>
      <c r="M440" s="79"/>
      <c r="N440" s="70" t="s">
        <v>5</v>
      </c>
      <c r="O440" s="71">
        <f>I440-K440-M440</f>
        <v>0</v>
      </c>
    </row>
    <row r="441" spans="1:15" ht="14.25" customHeight="1" x14ac:dyDescent="0.15">
      <c r="A441" s="150" t="s">
        <v>81</v>
      </c>
      <c r="B441" s="152" t="s">
        <v>190</v>
      </c>
      <c r="C441" s="136"/>
      <c r="D441" s="57" t="s">
        <v>46</v>
      </c>
      <c r="E441" s="58"/>
      <c r="F441" s="55" t="s">
        <v>17</v>
      </c>
      <c r="G441" s="78">
        <v>1650000</v>
      </c>
      <c r="H441" s="54" t="s">
        <v>17</v>
      </c>
      <c r="I441" s="78"/>
      <c r="J441" s="52" t="s">
        <v>17</v>
      </c>
      <c r="K441" s="79"/>
      <c r="L441" s="52" t="s">
        <v>17</v>
      </c>
      <c r="M441" s="79"/>
      <c r="N441" s="70" t="s">
        <v>17</v>
      </c>
      <c r="O441" s="71">
        <f>I441-K441-M441</f>
        <v>0</v>
      </c>
    </row>
    <row r="442" spans="1:15" ht="14.25" customHeight="1" x14ac:dyDescent="0.15">
      <c r="A442" s="149"/>
      <c r="B442" s="149"/>
      <c r="C442" s="137"/>
      <c r="D442" s="59" t="s">
        <v>47</v>
      </c>
      <c r="E442" s="60"/>
      <c r="F442" s="56" t="s">
        <v>18</v>
      </c>
      <c r="G442" s="80">
        <v>1650000</v>
      </c>
      <c r="H442" s="56" t="s">
        <v>18</v>
      </c>
      <c r="I442" s="80"/>
      <c r="J442" s="53" t="s">
        <v>18</v>
      </c>
      <c r="K442" s="81"/>
      <c r="L442" s="53" t="s">
        <v>18</v>
      </c>
      <c r="M442" s="81"/>
      <c r="N442" s="72" t="s">
        <v>18</v>
      </c>
      <c r="O442" s="73">
        <f>I442-K442-M442</f>
        <v>0</v>
      </c>
    </row>
    <row r="443" spans="1:15" ht="15" customHeight="1" x14ac:dyDescent="0.15">
      <c r="A443" s="150" t="s">
        <v>11</v>
      </c>
      <c r="B443" s="150" t="s">
        <v>163</v>
      </c>
      <c r="C443" s="135"/>
      <c r="D443" s="61" t="s">
        <v>16</v>
      </c>
      <c r="E443" s="62"/>
      <c r="F443" s="63" t="s">
        <v>4</v>
      </c>
      <c r="G443" s="64">
        <f>SUM(G444:G446)</f>
        <v>9800000</v>
      </c>
      <c r="H443" s="83" t="s">
        <v>4</v>
      </c>
      <c r="I443" s="64">
        <f>SUM(I444:I446)</f>
        <v>0</v>
      </c>
      <c r="J443" s="82" t="s">
        <v>4</v>
      </c>
      <c r="K443" s="64">
        <f>SUM(K444:K446)</f>
        <v>0</v>
      </c>
      <c r="L443" s="82" t="s">
        <v>4</v>
      </c>
      <c r="M443" s="64">
        <f>SUM(M444:M446)</f>
        <v>0</v>
      </c>
      <c r="N443" s="82" t="s">
        <v>4</v>
      </c>
      <c r="O443" s="64">
        <f>SUM(O444:O446)</f>
        <v>0</v>
      </c>
    </row>
    <row r="444" spans="1:15" ht="15" customHeight="1" x14ac:dyDescent="0.15">
      <c r="A444" s="149"/>
      <c r="B444" s="152"/>
      <c r="C444" s="136"/>
      <c r="D444" s="57" t="s">
        <v>45</v>
      </c>
      <c r="E444" s="58"/>
      <c r="F444" s="54" t="s">
        <v>5</v>
      </c>
      <c r="G444" s="78">
        <v>7000000</v>
      </c>
      <c r="H444" s="54" t="s">
        <v>5</v>
      </c>
      <c r="I444" s="78"/>
      <c r="J444" s="52" t="s">
        <v>5</v>
      </c>
      <c r="K444" s="79"/>
      <c r="L444" s="52" t="s">
        <v>5</v>
      </c>
      <c r="M444" s="79"/>
      <c r="N444" s="70" t="s">
        <v>5</v>
      </c>
      <c r="O444" s="71">
        <f>I444-K444-M444</f>
        <v>0</v>
      </c>
    </row>
    <row r="445" spans="1:15" ht="15" customHeight="1" x14ac:dyDescent="0.15">
      <c r="A445" s="150" t="s">
        <v>191</v>
      </c>
      <c r="B445" s="152" t="s">
        <v>164</v>
      </c>
      <c r="C445" s="136"/>
      <c r="D445" s="57" t="s">
        <v>15</v>
      </c>
      <c r="E445" s="58"/>
      <c r="F445" s="55" t="s">
        <v>17</v>
      </c>
      <c r="G445" s="78">
        <v>2800000</v>
      </c>
      <c r="H445" s="54" t="s">
        <v>17</v>
      </c>
      <c r="I445" s="78"/>
      <c r="J445" s="52" t="s">
        <v>17</v>
      </c>
      <c r="K445" s="79"/>
      <c r="L445" s="52" t="s">
        <v>17</v>
      </c>
      <c r="M445" s="79"/>
      <c r="N445" s="70" t="s">
        <v>17</v>
      </c>
      <c r="O445" s="71">
        <f>I445-K445-M445</f>
        <v>0</v>
      </c>
    </row>
    <row r="446" spans="1:15" ht="15" customHeight="1" x14ac:dyDescent="0.15">
      <c r="A446" s="149"/>
      <c r="B446" s="149"/>
      <c r="C446" s="137"/>
      <c r="D446" s="59" t="s">
        <v>47</v>
      </c>
      <c r="E446" s="60"/>
      <c r="F446" s="56" t="s">
        <v>18</v>
      </c>
      <c r="G446" s="80"/>
      <c r="H446" s="56" t="s">
        <v>18</v>
      </c>
      <c r="I446" s="80"/>
      <c r="J446" s="53" t="s">
        <v>18</v>
      </c>
      <c r="K446" s="81"/>
      <c r="L446" s="53" t="s">
        <v>18</v>
      </c>
      <c r="M446" s="81"/>
      <c r="N446" s="72" t="s">
        <v>18</v>
      </c>
      <c r="O446" s="73">
        <f>I446-K446-M446</f>
        <v>0</v>
      </c>
    </row>
    <row r="447" spans="1:15" ht="15" customHeight="1" x14ac:dyDescent="0.15">
      <c r="A447" s="150" t="s">
        <v>11</v>
      </c>
      <c r="B447" s="150" t="s">
        <v>192</v>
      </c>
      <c r="C447" s="135"/>
      <c r="D447" s="61" t="s">
        <v>16</v>
      </c>
      <c r="E447" s="62"/>
      <c r="F447" s="63" t="s">
        <v>4</v>
      </c>
      <c r="G447" s="64">
        <f>SUM(G448:G450)</f>
        <v>200000</v>
      </c>
      <c r="H447" s="83" t="s">
        <v>4</v>
      </c>
      <c r="I447" s="64">
        <f>SUM(I448:I450)</f>
        <v>0</v>
      </c>
      <c r="J447" s="82" t="s">
        <v>4</v>
      </c>
      <c r="K447" s="64">
        <f>SUM(K448:K450)</f>
        <v>0</v>
      </c>
      <c r="L447" s="82" t="s">
        <v>4</v>
      </c>
      <c r="M447" s="64">
        <f>SUM(M448:M450)</f>
        <v>0</v>
      </c>
      <c r="N447" s="82" t="s">
        <v>4</v>
      </c>
      <c r="O447" s="64">
        <f>SUM(O448:O450)</f>
        <v>0</v>
      </c>
    </row>
    <row r="448" spans="1:15" ht="15" customHeight="1" x14ac:dyDescent="0.15">
      <c r="A448" s="149"/>
      <c r="B448" s="152"/>
      <c r="C448" s="136"/>
      <c r="D448" s="57" t="s">
        <v>45</v>
      </c>
      <c r="E448" s="58"/>
      <c r="F448" s="54" t="s">
        <v>5</v>
      </c>
      <c r="G448" s="78"/>
      <c r="H448" s="54" t="s">
        <v>5</v>
      </c>
      <c r="I448" s="78"/>
      <c r="J448" s="52" t="s">
        <v>5</v>
      </c>
      <c r="K448" s="79"/>
      <c r="L448" s="52" t="s">
        <v>5</v>
      </c>
      <c r="M448" s="79"/>
      <c r="N448" s="70" t="s">
        <v>5</v>
      </c>
      <c r="O448" s="71">
        <f>I448-K448-M448</f>
        <v>0</v>
      </c>
    </row>
    <row r="449" spans="1:15" ht="15" customHeight="1" x14ac:dyDescent="0.15">
      <c r="A449" s="150" t="s">
        <v>191</v>
      </c>
      <c r="B449" s="152" t="s">
        <v>193</v>
      </c>
      <c r="C449" s="136"/>
      <c r="D449" s="57" t="s">
        <v>15</v>
      </c>
      <c r="E449" s="58"/>
      <c r="F449" s="55" t="s">
        <v>17</v>
      </c>
      <c r="G449" s="78">
        <v>200000</v>
      </c>
      <c r="H449" s="54" t="s">
        <v>17</v>
      </c>
      <c r="I449" s="78"/>
      <c r="J449" s="52" t="s">
        <v>17</v>
      </c>
      <c r="K449" s="79"/>
      <c r="L449" s="52" t="s">
        <v>17</v>
      </c>
      <c r="M449" s="79"/>
      <c r="N449" s="70" t="s">
        <v>17</v>
      </c>
      <c r="O449" s="71">
        <f>I449-K449-M449</f>
        <v>0</v>
      </c>
    </row>
    <row r="450" spans="1:15" ht="15" customHeight="1" x14ac:dyDescent="0.15">
      <c r="A450" s="149"/>
      <c r="B450" s="149"/>
      <c r="C450" s="137"/>
      <c r="D450" s="59" t="s">
        <v>47</v>
      </c>
      <c r="E450" s="60"/>
      <c r="F450" s="56" t="s">
        <v>18</v>
      </c>
      <c r="G450" s="80"/>
      <c r="H450" s="56" t="s">
        <v>18</v>
      </c>
      <c r="I450" s="80"/>
      <c r="J450" s="53" t="s">
        <v>18</v>
      </c>
      <c r="K450" s="81"/>
      <c r="L450" s="53" t="s">
        <v>18</v>
      </c>
      <c r="M450" s="81"/>
      <c r="N450" s="72" t="s">
        <v>18</v>
      </c>
      <c r="O450" s="73">
        <f>I450-K450-M450</f>
        <v>0</v>
      </c>
    </row>
    <row r="451" spans="1:15" ht="15" customHeight="1" x14ac:dyDescent="0.15">
      <c r="A451" s="150" t="s">
        <v>11</v>
      </c>
      <c r="B451" s="150" t="s">
        <v>163</v>
      </c>
      <c r="C451" s="135"/>
      <c r="D451" s="61" t="s">
        <v>16</v>
      </c>
      <c r="E451" s="62"/>
      <c r="F451" s="63" t="s">
        <v>4</v>
      </c>
      <c r="G451" s="64">
        <f>SUM(G452:G454)</f>
        <v>100584000</v>
      </c>
      <c r="H451" s="83" t="s">
        <v>4</v>
      </c>
      <c r="I451" s="64">
        <f>SUM(I452:I454)</f>
        <v>0</v>
      </c>
      <c r="J451" s="82" t="s">
        <v>4</v>
      </c>
      <c r="K451" s="64">
        <f>SUM(K452:K454)</f>
        <v>0</v>
      </c>
      <c r="L451" s="82" t="s">
        <v>4</v>
      </c>
      <c r="M451" s="64">
        <f>SUM(M452:M454)</f>
        <v>0</v>
      </c>
      <c r="N451" s="82" t="s">
        <v>4</v>
      </c>
      <c r="O451" s="64">
        <f>SUM(O452:O454)</f>
        <v>0</v>
      </c>
    </row>
    <row r="452" spans="1:15" ht="14.25" customHeight="1" x14ac:dyDescent="0.15">
      <c r="A452" s="149"/>
      <c r="B452" s="152"/>
      <c r="C452" s="136"/>
      <c r="D452" s="57" t="s">
        <v>45</v>
      </c>
      <c r="E452" s="58"/>
      <c r="F452" s="54" t="s">
        <v>5</v>
      </c>
      <c r="G452" s="78">
        <v>50292000</v>
      </c>
      <c r="H452" s="54" t="s">
        <v>5</v>
      </c>
      <c r="I452" s="78"/>
      <c r="J452" s="52" t="s">
        <v>5</v>
      </c>
      <c r="K452" s="79"/>
      <c r="L452" s="52" t="s">
        <v>5</v>
      </c>
      <c r="M452" s="79"/>
      <c r="N452" s="70" t="s">
        <v>5</v>
      </c>
      <c r="O452" s="71">
        <f>I452-K452-M452</f>
        <v>0</v>
      </c>
    </row>
    <row r="453" spans="1:15" ht="14.25" customHeight="1" x14ac:dyDescent="0.15">
      <c r="A453" s="150" t="s">
        <v>194</v>
      </c>
      <c r="B453" s="152" t="s">
        <v>164</v>
      </c>
      <c r="C453" s="136"/>
      <c r="D453" s="57" t="s">
        <v>15</v>
      </c>
      <c r="E453" s="58"/>
      <c r="F453" s="55" t="s">
        <v>17</v>
      </c>
      <c r="G453" s="78">
        <v>25146000</v>
      </c>
      <c r="H453" s="54" t="s">
        <v>17</v>
      </c>
      <c r="I453" s="78"/>
      <c r="J453" s="52" t="s">
        <v>17</v>
      </c>
      <c r="K453" s="79"/>
      <c r="L453" s="52" t="s">
        <v>17</v>
      </c>
      <c r="M453" s="79"/>
      <c r="N453" s="70" t="s">
        <v>17</v>
      </c>
      <c r="O453" s="71">
        <f>I453-K453-M453</f>
        <v>0</v>
      </c>
    </row>
    <row r="454" spans="1:15" ht="14.25" customHeight="1" x14ac:dyDescent="0.15">
      <c r="A454" s="149"/>
      <c r="B454" s="149"/>
      <c r="C454" s="137"/>
      <c r="D454" s="59" t="s">
        <v>47</v>
      </c>
      <c r="E454" s="60"/>
      <c r="F454" s="56" t="s">
        <v>18</v>
      </c>
      <c r="G454" s="80">
        <v>25146000</v>
      </c>
      <c r="H454" s="56" t="s">
        <v>18</v>
      </c>
      <c r="I454" s="80"/>
      <c r="J454" s="53" t="s">
        <v>18</v>
      </c>
      <c r="K454" s="81"/>
      <c r="L454" s="53" t="s">
        <v>18</v>
      </c>
      <c r="M454" s="81"/>
      <c r="N454" s="72" t="s">
        <v>18</v>
      </c>
      <c r="O454" s="73">
        <f>I454-K454-M454</f>
        <v>0</v>
      </c>
    </row>
    <row r="455" spans="1:15" ht="15" customHeight="1" x14ac:dyDescent="0.15">
      <c r="A455" s="150" t="s">
        <v>11</v>
      </c>
      <c r="B455" s="150" t="s">
        <v>181</v>
      </c>
      <c r="C455" s="135"/>
      <c r="D455" s="61" t="s">
        <v>16</v>
      </c>
      <c r="E455" s="62"/>
      <c r="F455" s="63" t="s">
        <v>4</v>
      </c>
      <c r="G455" s="64">
        <f>SUM(G456:G458)</f>
        <v>50000000</v>
      </c>
      <c r="H455" s="83" t="s">
        <v>4</v>
      </c>
      <c r="I455" s="64">
        <f>SUM(I456:I458)</f>
        <v>0</v>
      </c>
      <c r="J455" s="82" t="s">
        <v>4</v>
      </c>
      <c r="K455" s="64">
        <f>SUM(K456:K458)</f>
        <v>0</v>
      </c>
      <c r="L455" s="82" t="s">
        <v>4</v>
      </c>
      <c r="M455" s="64">
        <f>SUM(M456:M458)</f>
        <v>0</v>
      </c>
      <c r="N455" s="82" t="s">
        <v>4</v>
      </c>
      <c r="O455" s="64">
        <f>SUM(O456:O458)</f>
        <v>0</v>
      </c>
    </row>
    <row r="456" spans="1:15" ht="15" customHeight="1" x14ac:dyDescent="0.15">
      <c r="A456" s="149"/>
      <c r="B456" s="152"/>
      <c r="C456" s="136"/>
      <c r="D456" s="57" t="s">
        <v>45</v>
      </c>
      <c r="E456" s="58"/>
      <c r="F456" s="54" t="s">
        <v>5</v>
      </c>
      <c r="G456" s="78">
        <v>25000000</v>
      </c>
      <c r="H456" s="54" t="s">
        <v>5</v>
      </c>
      <c r="I456" s="78"/>
      <c r="J456" s="52" t="s">
        <v>5</v>
      </c>
      <c r="K456" s="79"/>
      <c r="L456" s="52" t="s">
        <v>5</v>
      </c>
      <c r="M456" s="79"/>
      <c r="N456" s="70" t="s">
        <v>5</v>
      </c>
      <c r="O456" s="71">
        <f>I456-K456-M456</f>
        <v>0</v>
      </c>
    </row>
    <row r="457" spans="1:15" ht="15" customHeight="1" x14ac:dyDescent="0.15">
      <c r="A457" s="150" t="s">
        <v>195</v>
      </c>
      <c r="B457" s="152" t="s">
        <v>182</v>
      </c>
      <c r="C457" s="136"/>
      <c r="D457" s="57" t="s">
        <v>15</v>
      </c>
      <c r="E457" s="58"/>
      <c r="F457" s="55" t="s">
        <v>17</v>
      </c>
      <c r="G457" s="78">
        <v>12500000</v>
      </c>
      <c r="H457" s="54" t="s">
        <v>17</v>
      </c>
      <c r="I457" s="78"/>
      <c r="J457" s="52" t="s">
        <v>17</v>
      </c>
      <c r="K457" s="79"/>
      <c r="L457" s="52" t="s">
        <v>17</v>
      </c>
      <c r="M457" s="79"/>
      <c r="N457" s="70" t="s">
        <v>17</v>
      </c>
      <c r="O457" s="71">
        <f>I457-K457-M457</f>
        <v>0</v>
      </c>
    </row>
    <row r="458" spans="1:15" ht="15" customHeight="1" x14ac:dyDescent="0.15">
      <c r="A458" s="149"/>
      <c r="B458" s="149"/>
      <c r="C458" s="137"/>
      <c r="D458" s="59" t="s">
        <v>47</v>
      </c>
      <c r="E458" s="60"/>
      <c r="F458" s="56" t="s">
        <v>18</v>
      </c>
      <c r="G458" s="80">
        <v>12500000</v>
      </c>
      <c r="H458" s="56" t="s">
        <v>18</v>
      </c>
      <c r="I458" s="80"/>
      <c r="J458" s="53" t="s">
        <v>18</v>
      </c>
      <c r="K458" s="81"/>
      <c r="L458" s="53" t="s">
        <v>18</v>
      </c>
      <c r="M458" s="81"/>
      <c r="N458" s="72" t="s">
        <v>18</v>
      </c>
      <c r="O458" s="73">
        <f>I458-K458-M458</f>
        <v>0</v>
      </c>
    </row>
    <row r="459" spans="1:15" ht="15" customHeight="1" x14ac:dyDescent="0.15">
      <c r="A459" s="150" t="s">
        <v>11</v>
      </c>
      <c r="B459" s="150" t="s">
        <v>181</v>
      </c>
      <c r="C459" s="135"/>
      <c r="D459" s="61" t="s">
        <v>16</v>
      </c>
      <c r="E459" s="62"/>
      <c r="F459" s="63" t="s">
        <v>4</v>
      </c>
      <c r="G459" s="64">
        <f>SUM(G460:G462)</f>
        <v>20714000</v>
      </c>
      <c r="H459" s="83" t="s">
        <v>4</v>
      </c>
      <c r="I459" s="64">
        <f>SUM(I460:I462)</f>
        <v>0</v>
      </c>
      <c r="J459" s="82" t="s">
        <v>4</v>
      </c>
      <c r="K459" s="64">
        <f>SUM(K460:K462)</f>
        <v>0</v>
      </c>
      <c r="L459" s="82" t="s">
        <v>4</v>
      </c>
      <c r="M459" s="64">
        <f>SUM(M460:M462)</f>
        <v>0</v>
      </c>
      <c r="N459" s="82" t="s">
        <v>4</v>
      </c>
      <c r="O459" s="64">
        <f>SUM(O460:O462)</f>
        <v>0</v>
      </c>
    </row>
    <row r="460" spans="1:15" ht="15" customHeight="1" x14ac:dyDescent="0.15">
      <c r="A460" s="149"/>
      <c r="B460" s="152"/>
      <c r="C460" s="136"/>
      <c r="D460" s="57" t="s">
        <v>45</v>
      </c>
      <c r="E460" s="58"/>
      <c r="F460" s="54" t="s">
        <v>5</v>
      </c>
      <c r="G460" s="78">
        <v>10357000</v>
      </c>
      <c r="H460" s="54" t="s">
        <v>5</v>
      </c>
      <c r="I460" s="78"/>
      <c r="J460" s="52" t="s">
        <v>5</v>
      </c>
      <c r="K460" s="79"/>
      <c r="L460" s="52" t="s">
        <v>5</v>
      </c>
      <c r="M460" s="79"/>
      <c r="N460" s="70" t="s">
        <v>5</v>
      </c>
      <c r="O460" s="71">
        <f>I460-K460-M460</f>
        <v>0</v>
      </c>
    </row>
    <row r="461" spans="1:15" ht="15" customHeight="1" x14ac:dyDescent="0.15">
      <c r="A461" s="150" t="s">
        <v>196</v>
      </c>
      <c r="B461" s="152" t="s">
        <v>182</v>
      </c>
      <c r="C461" s="136"/>
      <c r="D461" s="57" t="s">
        <v>15</v>
      </c>
      <c r="E461" s="58"/>
      <c r="F461" s="55" t="s">
        <v>17</v>
      </c>
      <c r="G461" s="78">
        <v>10357000</v>
      </c>
      <c r="H461" s="54" t="s">
        <v>17</v>
      </c>
      <c r="I461" s="78"/>
      <c r="J461" s="52" t="s">
        <v>17</v>
      </c>
      <c r="K461" s="79"/>
      <c r="L461" s="52" t="s">
        <v>17</v>
      </c>
      <c r="M461" s="79"/>
      <c r="N461" s="70" t="s">
        <v>17</v>
      </c>
      <c r="O461" s="71">
        <f>I461-K461-M461</f>
        <v>0</v>
      </c>
    </row>
    <row r="462" spans="1:15" ht="15" customHeight="1" x14ac:dyDescent="0.15">
      <c r="A462" s="149"/>
      <c r="B462" s="149"/>
      <c r="C462" s="137"/>
      <c r="D462" s="59" t="s">
        <v>47</v>
      </c>
      <c r="E462" s="60"/>
      <c r="F462" s="56" t="s">
        <v>18</v>
      </c>
      <c r="G462" s="80"/>
      <c r="H462" s="56" t="s">
        <v>18</v>
      </c>
      <c r="I462" s="80"/>
      <c r="J462" s="53" t="s">
        <v>18</v>
      </c>
      <c r="K462" s="81"/>
      <c r="L462" s="53" t="s">
        <v>18</v>
      </c>
      <c r="M462" s="81"/>
      <c r="N462" s="72" t="s">
        <v>18</v>
      </c>
      <c r="O462" s="73">
        <f>I462-K462-M462</f>
        <v>0</v>
      </c>
    </row>
    <row r="463" spans="1:15" ht="15" customHeight="1" x14ac:dyDescent="0.15">
      <c r="A463" s="150" t="s">
        <v>11</v>
      </c>
      <c r="B463" s="150" t="s">
        <v>181</v>
      </c>
      <c r="C463" s="135"/>
      <c r="D463" s="61" t="s">
        <v>16</v>
      </c>
      <c r="E463" s="62"/>
      <c r="F463" s="63" t="s">
        <v>4</v>
      </c>
      <c r="G463" s="64">
        <f>SUM(G464:G466)</f>
        <v>2873000</v>
      </c>
      <c r="H463" s="83" t="s">
        <v>4</v>
      </c>
      <c r="I463" s="64">
        <f>SUM(I464:I466)</f>
        <v>0</v>
      </c>
      <c r="J463" s="82" t="s">
        <v>4</v>
      </c>
      <c r="K463" s="64">
        <f>SUM(K464:K466)</f>
        <v>0</v>
      </c>
      <c r="L463" s="82" t="s">
        <v>4</v>
      </c>
      <c r="M463" s="64">
        <f>SUM(M464:M466)</f>
        <v>0</v>
      </c>
      <c r="N463" s="82" t="s">
        <v>4</v>
      </c>
      <c r="O463" s="64">
        <f>SUM(O464:O466)</f>
        <v>0</v>
      </c>
    </row>
    <row r="464" spans="1:15" ht="14.25" customHeight="1" x14ac:dyDescent="0.15">
      <c r="A464" s="149"/>
      <c r="B464" s="152"/>
      <c r="C464" s="136"/>
      <c r="D464" s="57" t="s">
        <v>45</v>
      </c>
      <c r="E464" s="58"/>
      <c r="F464" s="54" t="s">
        <v>5</v>
      </c>
      <c r="G464" s="78"/>
      <c r="H464" s="54" t="s">
        <v>5</v>
      </c>
      <c r="I464" s="78"/>
      <c r="J464" s="52" t="s">
        <v>5</v>
      </c>
      <c r="K464" s="79"/>
      <c r="L464" s="52" t="s">
        <v>5</v>
      </c>
      <c r="M464" s="79"/>
      <c r="N464" s="70" t="s">
        <v>5</v>
      </c>
      <c r="O464" s="71">
        <f>I464-K464-M464</f>
        <v>0</v>
      </c>
    </row>
    <row r="465" spans="1:15" ht="14.25" customHeight="1" x14ac:dyDescent="0.15">
      <c r="A465" s="150" t="s">
        <v>197</v>
      </c>
      <c r="B465" s="152" t="s">
        <v>182</v>
      </c>
      <c r="C465" s="136"/>
      <c r="D465" s="57" t="s">
        <v>15</v>
      </c>
      <c r="E465" s="58"/>
      <c r="F465" s="55" t="s">
        <v>17</v>
      </c>
      <c r="G465" s="78">
        <v>2873000</v>
      </c>
      <c r="H465" s="54" t="s">
        <v>17</v>
      </c>
      <c r="I465" s="78"/>
      <c r="J465" s="52" t="s">
        <v>17</v>
      </c>
      <c r="K465" s="79"/>
      <c r="L465" s="52" t="s">
        <v>17</v>
      </c>
      <c r="M465" s="79"/>
      <c r="N465" s="70" t="s">
        <v>17</v>
      </c>
      <c r="O465" s="71">
        <f>I465-K465-M465</f>
        <v>0</v>
      </c>
    </row>
    <row r="466" spans="1:15" ht="14.25" customHeight="1" x14ac:dyDescent="0.15">
      <c r="A466" s="149"/>
      <c r="B466" s="149"/>
      <c r="C466" s="137"/>
      <c r="D466" s="59" t="s">
        <v>47</v>
      </c>
      <c r="E466" s="60"/>
      <c r="F466" s="56" t="s">
        <v>18</v>
      </c>
      <c r="G466" s="80"/>
      <c r="H466" s="56" t="s">
        <v>18</v>
      </c>
      <c r="I466" s="80"/>
      <c r="J466" s="53" t="s">
        <v>18</v>
      </c>
      <c r="K466" s="81"/>
      <c r="L466" s="53" t="s">
        <v>18</v>
      </c>
      <c r="M466" s="81"/>
      <c r="N466" s="72" t="s">
        <v>18</v>
      </c>
      <c r="O466" s="73">
        <f>I466-K466-M466</f>
        <v>0</v>
      </c>
    </row>
    <row r="467" spans="1:15" ht="15" customHeight="1" x14ac:dyDescent="0.15">
      <c r="A467" s="150" t="s">
        <v>11</v>
      </c>
      <c r="B467" s="150" t="s">
        <v>199</v>
      </c>
      <c r="C467" s="135"/>
      <c r="D467" s="61" t="s">
        <v>16</v>
      </c>
      <c r="E467" s="62"/>
      <c r="F467" s="63" t="s">
        <v>4</v>
      </c>
      <c r="G467" s="64">
        <f>SUM(G468:G470)</f>
        <v>100000000</v>
      </c>
      <c r="H467" s="83" t="s">
        <v>4</v>
      </c>
      <c r="I467" s="64">
        <f>SUM(I468:I470)</f>
        <v>0</v>
      </c>
      <c r="J467" s="82" t="s">
        <v>4</v>
      </c>
      <c r="K467" s="64">
        <f>SUM(K468:K470)</f>
        <v>0</v>
      </c>
      <c r="L467" s="82" t="s">
        <v>4</v>
      </c>
      <c r="M467" s="64">
        <f>SUM(M468:M470)</f>
        <v>0</v>
      </c>
      <c r="N467" s="82" t="s">
        <v>4</v>
      </c>
      <c r="O467" s="64">
        <f>SUM(O468:O470)</f>
        <v>0</v>
      </c>
    </row>
    <row r="468" spans="1:15" ht="15" customHeight="1" x14ac:dyDescent="0.15">
      <c r="A468" s="149"/>
      <c r="B468" s="152"/>
      <c r="C468" s="136"/>
      <c r="D468" s="57" t="s">
        <v>45</v>
      </c>
      <c r="E468" s="58"/>
      <c r="F468" s="54" t="s">
        <v>5</v>
      </c>
      <c r="G468" s="78">
        <v>70000000</v>
      </c>
      <c r="H468" s="54" t="s">
        <v>5</v>
      </c>
      <c r="I468" s="78"/>
      <c r="J468" s="52" t="s">
        <v>5</v>
      </c>
      <c r="K468" s="79"/>
      <c r="L468" s="52" t="s">
        <v>5</v>
      </c>
      <c r="M468" s="79"/>
      <c r="N468" s="70" t="s">
        <v>5</v>
      </c>
      <c r="O468" s="71">
        <f>I468-K468-M468</f>
        <v>0</v>
      </c>
    </row>
    <row r="469" spans="1:15" ht="15" customHeight="1" x14ac:dyDescent="0.15">
      <c r="A469" s="150" t="s">
        <v>198</v>
      </c>
      <c r="B469" s="152" t="s">
        <v>200</v>
      </c>
      <c r="C469" s="136"/>
      <c r="D469" s="57" t="s">
        <v>15</v>
      </c>
      <c r="E469" s="58"/>
      <c r="F469" s="55" t="s">
        <v>17</v>
      </c>
      <c r="G469" s="78"/>
      <c r="H469" s="54" t="s">
        <v>17</v>
      </c>
      <c r="I469" s="78"/>
      <c r="J469" s="52" t="s">
        <v>17</v>
      </c>
      <c r="K469" s="79"/>
      <c r="L469" s="52" t="s">
        <v>17</v>
      </c>
      <c r="M469" s="79"/>
      <c r="N469" s="70" t="s">
        <v>17</v>
      </c>
      <c r="O469" s="71">
        <f>I469-K469-M469</f>
        <v>0</v>
      </c>
    </row>
    <row r="470" spans="1:15" ht="15" customHeight="1" x14ac:dyDescent="0.15">
      <c r="A470" s="149"/>
      <c r="B470" s="149"/>
      <c r="C470" s="137"/>
      <c r="D470" s="59" t="s">
        <v>47</v>
      </c>
      <c r="E470" s="60"/>
      <c r="F470" s="56" t="s">
        <v>18</v>
      </c>
      <c r="G470" s="80">
        <v>30000000</v>
      </c>
      <c r="H470" s="56" t="s">
        <v>18</v>
      </c>
      <c r="I470" s="80"/>
      <c r="J470" s="53" t="s">
        <v>18</v>
      </c>
      <c r="K470" s="81"/>
      <c r="L470" s="53" t="s">
        <v>18</v>
      </c>
      <c r="M470" s="81"/>
      <c r="N470" s="72" t="s">
        <v>18</v>
      </c>
      <c r="O470" s="73">
        <f>I470-K470-M470</f>
        <v>0</v>
      </c>
    </row>
    <row r="471" spans="1:15" ht="15" customHeight="1" x14ac:dyDescent="0.15">
      <c r="A471" s="150" t="s">
        <v>11</v>
      </c>
      <c r="B471" s="150" t="s">
        <v>202</v>
      </c>
      <c r="C471" s="135"/>
      <c r="D471" s="61" t="s">
        <v>16</v>
      </c>
      <c r="E471" s="62"/>
      <c r="F471" s="63" t="s">
        <v>4</v>
      </c>
      <c r="G471" s="64">
        <f>SUM(G472:G474)</f>
        <v>56864000</v>
      </c>
      <c r="H471" s="83" t="s">
        <v>4</v>
      </c>
      <c r="I471" s="64">
        <f>SUM(I472:I474)</f>
        <v>0</v>
      </c>
      <c r="J471" s="82" t="s">
        <v>4</v>
      </c>
      <c r="K471" s="64">
        <f>SUM(K472:K474)</f>
        <v>0</v>
      </c>
      <c r="L471" s="82" t="s">
        <v>4</v>
      </c>
      <c r="M471" s="64">
        <f>SUM(M472:M474)</f>
        <v>0</v>
      </c>
      <c r="N471" s="82" t="s">
        <v>4</v>
      </c>
      <c r="O471" s="64">
        <f>SUM(O472:O474)</f>
        <v>0</v>
      </c>
    </row>
    <row r="472" spans="1:15" ht="15" customHeight="1" x14ac:dyDescent="0.15">
      <c r="A472" s="149"/>
      <c r="B472" s="152"/>
      <c r="C472" s="136"/>
      <c r="D472" s="57" t="s">
        <v>45</v>
      </c>
      <c r="E472" s="58"/>
      <c r="F472" s="54" t="s">
        <v>5</v>
      </c>
      <c r="G472" s="78">
        <v>28432000</v>
      </c>
      <c r="H472" s="54" t="s">
        <v>5</v>
      </c>
      <c r="I472" s="78"/>
      <c r="J472" s="52" t="s">
        <v>5</v>
      </c>
      <c r="K472" s="79"/>
      <c r="L472" s="52" t="s">
        <v>5</v>
      </c>
      <c r="M472" s="79"/>
      <c r="N472" s="70" t="s">
        <v>5</v>
      </c>
      <c r="O472" s="71">
        <f>I472-K472-M472</f>
        <v>0</v>
      </c>
    </row>
    <row r="473" spans="1:15" ht="15" customHeight="1" x14ac:dyDescent="0.15">
      <c r="A473" s="150" t="s">
        <v>201</v>
      </c>
      <c r="B473" s="152" t="s">
        <v>203</v>
      </c>
      <c r="C473" s="136"/>
      <c r="D473" s="57" t="s">
        <v>15</v>
      </c>
      <c r="E473" s="58"/>
      <c r="F473" s="55" t="s">
        <v>17</v>
      </c>
      <c r="G473" s="78">
        <v>14216000</v>
      </c>
      <c r="H473" s="54" t="s">
        <v>17</v>
      </c>
      <c r="I473" s="78"/>
      <c r="J473" s="52" t="s">
        <v>17</v>
      </c>
      <c r="K473" s="79"/>
      <c r="L473" s="52" t="s">
        <v>17</v>
      </c>
      <c r="M473" s="79"/>
      <c r="N473" s="70" t="s">
        <v>17</v>
      </c>
      <c r="O473" s="71">
        <f>I473-K473-M473</f>
        <v>0</v>
      </c>
    </row>
    <row r="474" spans="1:15" ht="15" customHeight="1" x14ac:dyDescent="0.15">
      <c r="A474" s="149"/>
      <c r="B474" s="149"/>
      <c r="C474" s="137"/>
      <c r="D474" s="59" t="s">
        <v>47</v>
      </c>
      <c r="E474" s="60"/>
      <c r="F474" s="56" t="s">
        <v>18</v>
      </c>
      <c r="G474" s="80">
        <v>14216000</v>
      </c>
      <c r="H474" s="56" t="s">
        <v>18</v>
      </c>
      <c r="I474" s="80"/>
      <c r="J474" s="53" t="s">
        <v>18</v>
      </c>
      <c r="K474" s="81"/>
      <c r="L474" s="53" t="s">
        <v>18</v>
      </c>
      <c r="M474" s="81"/>
      <c r="N474" s="72" t="s">
        <v>18</v>
      </c>
      <c r="O474" s="73">
        <f>I474-K474-M474</f>
        <v>0</v>
      </c>
    </row>
    <row r="475" spans="1:15" ht="15" customHeight="1" x14ac:dyDescent="0.15">
      <c r="A475" s="150" t="s">
        <v>11</v>
      </c>
      <c r="B475" s="150" t="s">
        <v>169</v>
      </c>
      <c r="C475" s="135"/>
      <c r="D475" s="61" t="s">
        <v>16</v>
      </c>
      <c r="E475" s="62"/>
      <c r="F475" s="63" t="s">
        <v>4</v>
      </c>
      <c r="G475" s="64">
        <f>SUM(G476:G478)</f>
        <v>2000000</v>
      </c>
      <c r="H475" s="83" t="s">
        <v>4</v>
      </c>
      <c r="I475" s="64">
        <f>SUM(I476:I478)</f>
        <v>0</v>
      </c>
      <c r="J475" s="82" t="s">
        <v>4</v>
      </c>
      <c r="K475" s="64">
        <f>SUM(K476:K478)</f>
        <v>0</v>
      </c>
      <c r="L475" s="82" t="s">
        <v>4</v>
      </c>
      <c r="M475" s="64">
        <f>SUM(M476:M478)</f>
        <v>0</v>
      </c>
      <c r="N475" s="82" t="s">
        <v>4</v>
      </c>
      <c r="O475" s="64">
        <f>SUM(O476:O478)</f>
        <v>0</v>
      </c>
    </row>
    <row r="476" spans="1:15" ht="15" customHeight="1" x14ac:dyDescent="0.15">
      <c r="A476" s="149"/>
      <c r="B476" s="152"/>
      <c r="C476" s="136"/>
      <c r="D476" s="57" t="s">
        <v>45</v>
      </c>
      <c r="E476" s="58"/>
      <c r="F476" s="54" t="s">
        <v>5</v>
      </c>
      <c r="G476" s="78">
        <v>1000000</v>
      </c>
      <c r="H476" s="54" t="s">
        <v>5</v>
      </c>
      <c r="I476" s="78"/>
      <c r="J476" s="52" t="s">
        <v>5</v>
      </c>
      <c r="K476" s="79"/>
      <c r="L476" s="52" t="s">
        <v>5</v>
      </c>
      <c r="M476" s="79"/>
      <c r="N476" s="70" t="s">
        <v>5</v>
      </c>
      <c r="O476" s="71">
        <f>I476-K476-M476</f>
        <v>0</v>
      </c>
    </row>
    <row r="477" spans="1:15" ht="15" customHeight="1" x14ac:dyDescent="0.15">
      <c r="A477" s="150" t="s">
        <v>201</v>
      </c>
      <c r="B477" s="152" t="s">
        <v>170</v>
      </c>
      <c r="C477" s="136"/>
      <c r="D477" s="57" t="s">
        <v>15</v>
      </c>
      <c r="E477" s="58"/>
      <c r="F477" s="55" t="s">
        <v>17</v>
      </c>
      <c r="G477" s="78">
        <v>500000</v>
      </c>
      <c r="H477" s="54" t="s">
        <v>17</v>
      </c>
      <c r="I477" s="78"/>
      <c r="J477" s="52" t="s">
        <v>17</v>
      </c>
      <c r="K477" s="79"/>
      <c r="L477" s="52" t="s">
        <v>17</v>
      </c>
      <c r="M477" s="79"/>
      <c r="N477" s="70" t="s">
        <v>17</v>
      </c>
      <c r="O477" s="71">
        <f>I477-K477-M477</f>
        <v>0</v>
      </c>
    </row>
    <row r="478" spans="1:15" ht="15" customHeight="1" x14ac:dyDescent="0.15">
      <c r="A478" s="149"/>
      <c r="B478" s="149"/>
      <c r="C478" s="137"/>
      <c r="D478" s="59" t="s">
        <v>47</v>
      </c>
      <c r="E478" s="60"/>
      <c r="F478" s="56" t="s">
        <v>18</v>
      </c>
      <c r="G478" s="80">
        <v>500000</v>
      </c>
      <c r="H478" s="56" t="s">
        <v>18</v>
      </c>
      <c r="I478" s="80"/>
      <c r="J478" s="53" t="s">
        <v>18</v>
      </c>
      <c r="K478" s="81"/>
      <c r="L478" s="53" t="s">
        <v>18</v>
      </c>
      <c r="M478" s="81"/>
      <c r="N478" s="72" t="s">
        <v>18</v>
      </c>
      <c r="O478" s="73">
        <f>I478-K478-M478</f>
        <v>0</v>
      </c>
    </row>
    <row r="479" spans="1:15" ht="15" customHeight="1" x14ac:dyDescent="0.15">
      <c r="A479" s="150" t="s">
        <v>11</v>
      </c>
      <c r="B479" s="150" t="s">
        <v>204</v>
      </c>
      <c r="C479" s="135"/>
      <c r="D479" s="61" t="s">
        <v>16</v>
      </c>
      <c r="E479" s="62"/>
      <c r="F479" s="63" t="s">
        <v>4</v>
      </c>
      <c r="G479" s="64">
        <f>SUM(G480:G482)</f>
        <v>456000</v>
      </c>
      <c r="H479" s="83" t="s">
        <v>4</v>
      </c>
      <c r="I479" s="64">
        <f>SUM(I480:I482)</f>
        <v>0</v>
      </c>
      <c r="J479" s="82" t="s">
        <v>4</v>
      </c>
      <c r="K479" s="64">
        <f>SUM(K480:K482)</f>
        <v>0</v>
      </c>
      <c r="L479" s="82" t="s">
        <v>4</v>
      </c>
      <c r="M479" s="64">
        <f>SUM(M480:M482)</f>
        <v>0</v>
      </c>
      <c r="N479" s="82" t="s">
        <v>4</v>
      </c>
      <c r="O479" s="64">
        <f>SUM(O480:O482)</f>
        <v>0</v>
      </c>
    </row>
    <row r="480" spans="1:15" ht="15" customHeight="1" x14ac:dyDescent="0.15">
      <c r="A480" s="149"/>
      <c r="B480" s="152"/>
      <c r="C480" s="136"/>
      <c r="D480" s="57" t="s">
        <v>45</v>
      </c>
      <c r="E480" s="58"/>
      <c r="F480" s="54" t="s">
        <v>5</v>
      </c>
      <c r="G480" s="78">
        <v>228000</v>
      </c>
      <c r="H480" s="54" t="s">
        <v>5</v>
      </c>
      <c r="I480" s="78"/>
      <c r="J480" s="52" t="s">
        <v>5</v>
      </c>
      <c r="K480" s="79"/>
      <c r="L480" s="52" t="s">
        <v>5</v>
      </c>
      <c r="M480" s="79"/>
      <c r="N480" s="70" t="s">
        <v>5</v>
      </c>
      <c r="O480" s="71">
        <f>I480-K480-M480</f>
        <v>0</v>
      </c>
    </row>
    <row r="481" spans="1:19" ht="15" customHeight="1" x14ac:dyDescent="0.15">
      <c r="A481" s="150" t="s">
        <v>201</v>
      </c>
      <c r="B481" s="152" t="s">
        <v>205</v>
      </c>
      <c r="C481" s="136"/>
      <c r="D481" s="57" t="s">
        <v>15</v>
      </c>
      <c r="E481" s="58"/>
      <c r="F481" s="55" t="s">
        <v>17</v>
      </c>
      <c r="G481" s="78">
        <v>114000</v>
      </c>
      <c r="H481" s="54" t="s">
        <v>17</v>
      </c>
      <c r="I481" s="78"/>
      <c r="J481" s="52" t="s">
        <v>17</v>
      </c>
      <c r="K481" s="79"/>
      <c r="L481" s="52" t="s">
        <v>17</v>
      </c>
      <c r="M481" s="79"/>
      <c r="N481" s="70" t="s">
        <v>17</v>
      </c>
      <c r="O481" s="71">
        <f>I481-K481-M481</f>
        <v>0</v>
      </c>
    </row>
    <row r="482" spans="1:19" ht="15" customHeight="1" x14ac:dyDescent="0.15">
      <c r="A482" s="149"/>
      <c r="B482" s="149"/>
      <c r="C482" s="137"/>
      <c r="D482" s="59" t="s">
        <v>47</v>
      </c>
      <c r="E482" s="60"/>
      <c r="F482" s="56" t="s">
        <v>18</v>
      </c>
      <c r="G482" s="80">
        <v>114000</v>
      </c>
      <c r="H482" s="56" t="s">
        <v>18</v>
      </c>
      <c r="I482" s="80"/>
      <c r="J482" s="53" t="s">
        <v>18</v>
      </c>
      <c r="K482" s="81"/>
      <c r="L482" s="53" t="s">
        <v>18</v>
      </c>
      <c r="M482" s="81"/>
      <c r="N482" s="72" t="s">
        <v>18</v>
      </c>
      <c r="O482" s="73">
        <f>I482-K482-M482</f>
        <v>0</v>
      </c>
    </row>
    <row r="483" spans="1:19" ht="15" customHeight="1" x14ac:dyDescent="0.15">
      <c r="A483" s="150" t="s">
        <v>11</v>
      </c>
      <c r="B483" s="150" t="s">
        <v>181</v>
      </c>
      <c r="C483" s="135"/>
      <c r="D483" s="61" t="s">
        <v>16</v>
      </c>
      <c r="E483" s="62"/>
      <c r="F483" s="63" t="s">
        <v>4</v>
      </c>
      <c r="G483" s="64">
        <f>SUM(G484:G486)</f>
        <v>5880000</v>
      </c>
      <c r="H483" s="83" t="s">
        <v>4</v>
      </c>
      <c r="I483" s="64">
        <f>SUM(I484:I486)</f>
        <v>0</v>
      </c>
      <c r="J483" s="82" t="s">
        <v>4</v>
      </c>
      <c r="K483" s="64">
        <f>SUM(K484:K486)</f>
        <v>0</v>
      </c>
      <c r="L483" s="82" t="s">
        <v>4</v>
      </c>
      <c r="M483" s="64">
        <f>SUM(M484:M486)</f>
        <v>0</v>
      </c>
      <c r="N483" s="82" t="s">
        <v>4</v>
      </c>
      <c r="O483" s="64">
        <f>SUM(O484:O486)</f>
        <v>0</v>
      </c>
    </row>
    <row r="484" spans="1:19" ht="14.25" customHeight="1" x14ac:dyDescent="0.15">
      <c r="A484" s="149"/>
      <c r="B484" s="152"/>
      <c r="C484" s="136"/>
      <c r="D484" s="57" t="s">
        <v>45</v>
      </c>
      <c r="E484" s="58"/>
      <c r="F484" s="54" t="s">
        <v>5</v>
      </c>
      <c r="G484" s="78"/>
      <c r="H484" s="54" t="s">
        <v>5</v>
      </c>
      <c r="I484" s="78"/>
      <c r="J484" s="52" t="s">
        <v>5</v>
      </c>
      <c r="K484" s="79"/>
      <c r="L484" s="52" t="s">
        <v>5</v>
      </c>
      <c r="M484" s="79"/>
      <c r="N484" s="70" t="s">
        <v>5</v>
      </c>
      <c r="O484" s="71">
        <f>I484-K484-M484</f>
        <v>0</v>
      </c>
    </row>
    <row r="485" spans="1:19" ht="14.25" customHeight="1" x14ac:dyDescent="0.15">
      <c r="A485" s="150" t="s">
        <v>206</v>
      </c>
      <c r="B485" s="152" t="s">
        <v>182</v>
      </c>
      <c r="C485" s="136"/>
      <c r="D485" s="57" t="s">
        <v>15</v>
      </c>
      <c r="E485" s="58"/>
      <c r="F485" s="55" t="s">
        <v>17</v>
      </c>
      <c r="G485" s="78">
        <v>5880000</v>
      </c>
      <c r="H485" s="54" t="s">
        <v>17</v>
      </c>
      <c r="I485" s="78"/>
      <c r="J485" s="52" t="s">
        <v>17</v>
      </c>
      <c r="K485" s="79"/>
      <c r="L485" s="52" t="s">
        <v>17</v>
      </c>
      <c r="M485" s="79"/>
      <c r="N485" s="70" t="s">
        <v>17</v>
      </c>
      <c r="O485" s="71">
        <f>I485-K485-M485</f>
        <v>0</v>
      </c>
    </row>
    <row r="486" spans="1:19" ht="14.25" customHeight="1" x14ac:dyDescent="0.15">
      <c r="A486" s="149"/>
      <c r="B486" s="149"/>
      <c r="C486" s="137"/>
      <c r="D486" s="59" t="s">
        <v>47</v>
      </c>
      <c r="E486" s="60"/>
      <c r="F486" s="56" t="s">
        <v>18</v>
      </c>
      <c r="G486" s="80"/>
      <c r="H486" s="56" t="s">
        <v>18</v>
      </c>
      <c r="I486" s="80"/>
      <c r="J486" s="53" t="s">
        <v>18</v>
      </c>
      <c r="K486" s="81"/>
      <c r="L486" s="53" t="s">
        <v>18</v>
      </c>
      <c r="M486" s="81"/>
      <c r="N486" s="72" t="s">
        <v>18</v>
      </c>
      <c r="O486" s="73">
        <f>I486-K486-M486</f>
        <v>0</v>
      </c>
    </row>
    <row r="487" spans="1:19" s="84" customFormat="1" ht="15" customHeight="1" x14ac:dyDescent="0.15">
      <c r="A487" s="160" t="s">
        <v>82</v>
      </c>
      <c r="B487" s="161"/>
      <c r="C487" s="162"/>
      <c r="D487" s="94" t="s">
        <v>44</v>
      </c>
      <c r="E487" s="65">
        <f>SUMIF(D491:D514,D487,E491:E514)</f>
        <v>0</v>
      </c>
      <c r="F487" s="77" t="s">
        <v>4</v>
      </c>
      <c r="G487" s="65">
        <f>SUM(G488:G490)</f>
        <v>439112000</v>
      </c>
      <c r="H487" s="77" t="s">
        <v>4</v>
      </c>
      <c r="I487" s="65">
        <f>SUM(I488:I490)</f>
        <v>30203000</v>
      </c>
      <c r="J487" s="77" t="s">
        <v>4</v>
      </c>
      <c r="K487" s="65">
        <f>SUM(K488:K490)</f>
        <v>28126810</v>
      </c>
      <c r="L487" s="77" t="s">
        <v>4</v>
      </c>
      <c r="M487" s="65">
        <f>SUM(M488:M490)</f>
        <v>0</v>
      </c>
      <c r="N487" s="77" t="s">
        <v>4</v>
      </c>
      <c r="O487" s="65">
        <f>SUM(O488:O490)</f>
        <v>2076190</v>
      </c>
      <c r="P487" s="8"/>
      <c r="Q487" s="8"/>
      <c r="R487" s="6"/>
      <c r="S487" s="6"/>
    </row>
    <row r="488" spans="1:19" s="84" customFormat="1" ht="15" customHeight="1" x14ac:dyDescent="0.15">
      <c r="A488" s="163"/>
      <c r="B488" s="164"/>
      <c r="C488" s="165"/>
      <c r="D488" s="92" t="s">
        <v>45</v>
      </c>
      <c r="E488" s="66">
        <f>SUMIF(D491:D514,D488,E491:E514)</f>
        <v>28700000</v>
      </c>
      <c r="F488" s="67" t="s">
        <v>5</v>
      </c>
      <c r="G488" s="66">
        <f>SUMIF(F491:F514,F488,G491:G514)</f>
        <v>233752000</v>
      </c>
      <c r="H488" s="67" t="s">
        <v>5</v>
      </c>
      <c r="I488" s="66">
        <f>SUMIF(H491:H514,H488,I491:I514)</f>
        <v>21564000</v>
      </c>
      <c r="J488" s="67" t="s">
        <v>5</v>
      </c>
      <c r="K488" s="66">
        <f>SUMIF(J491:J514,J488,K491:K514)</f>
        <v>21352416</v>
      </c>
      <c r="L488" s="67" t="s">
        <v>5</v>
      </c>
      <c r="M488" s="66">
        <f>SUMIF(L491:L514,L488,M491:M514)</f>
        <v>0</v>
      </c>
      <c r="N488" s="67" t="s">
        <v>5</v>
      </c>
      <c r="O488" s="66">
        <f>SUMIF(N491:N514,N488,O491:O514)</f>
        <v>211584</v>
      </c>
      <c r="P488" s="8"/>
      <c r="Q488" s="8"/>
      <c r="R488" s="6"/>
      <c r="S488" s="6"/>
    </row>
    <row r="489" spans="1:19" s="84" customFormat="1" ht="15" customHeight="1" x14ac:dyDescent="0.15">
      <c r="A489" s="163"/>
      <c r="B489" s="164"/>
      <c r="C489" s="165"/>
      <c r="D489" s="92" t="s">
        <v>46</v>
      </c>
      <c r="E489" s="66">
        <f>SUMIF(D492:D514,D489,E492:E514)</f>
        <v>0</v>
      </c>
      <c r="F489" s="67" t="s">
        <v>17</v>
      </c>
      <c r="G489" s="66">
        <f>SUMIF(F492:F515,F489,G492:G515)</f>
        <v>70405000</v>
      </c>
      <c r="H489" s="67" t="s">
        <v>17</v>
      </c>
      <c r="I489" s="66">
        <f>SUMIF(H492:H515,H489,I492:I515)</f>
        <v>2695000</v>
      </c>
      <c r="J489" s="67" t="s">
        <v>17</v>
      </c>
      <c r="K489" s="66">
        <f>SUMIF(J492:J515,J489,K492:K515)</f>
        <v>2669552</v>
      </c>
      <c r="L489" s="67" t="s">
        <v>17</v>
      </c>
      <c r="M489" s="66">
        <f>SUMIF(L492:L515,L489,M492:M515)</f>
        <v>0</v>
      </c>
      <c r="N489" s="67" t="s">
        <v>17</v>
      </c>
      <c r="O489" s="66">
        <f>SUMIF(N492:N515,N489,O492:O515)</f>
        <v>25448</v>
      </c>
      <c r="P489" s="8"/>
      <c r="Q489" s="8"/>
      <c r="R489" s="6"/>
      <c r="S489" s="6"/>
    </row>
    <row r="490" spans="1:19" s="84" customFormat="1" ht="15" customHeight="1" x14ac:dyDescent="0.15">
      <c r="A490" s="163"/>
      <c r="B490" s="164"/>
      <c r="C490" s="165"/>
      <c r="D490" s="93" t="s">
        <v>47</v>
      </c>
      <c r="E490" s="68">
        <f>SUMIF(D491:D514,D490,E491:E514)</f>
        <v>0</v>
      </c>
      <c r="F490" s="69" t="s">
        <v>18</v>
      </c>
      <c r="G490" s="66">
        <f>SUMIF(F493:F516,F490,G493:G516)</f>
        <v>134955000</v>
      </c>
      <c r="H490" s="69" t="s">
        <v>18</v>
      </c>
      <c r="I490" s="66">
        <f>SUMIF(H493:H516,H490,I493:I516)</f>
        <v>5944000</v>
      </c>
      <c r="J490" s="69" t="s">
        <v>18</v>
      </c>
      <c r="K490" s="66">
        <f>SUMIF(J493:J516,J490,K493:K516)</f>
        <v>4104842</v>
      </c>
      <c r="L490" s="69" t="s">
        <v>18</v>
      </c>
      <c r="M490" s="66">
        <f>SUMIF(L493:L516,L490,M493:M516)</f>
        <v>0</v>
      </c>
      <c r="N490" s="69" t="s">
        <v>18</v>
      </c>
      <c r="O490" s="66">
        <f>SUMIF(N493:N516,N490,O493:O516)</f>
        <v>1839158</v>
      </c>
      <c r="P490" s="8"/>
      <c r="Q490" s="8"/>
      <c r="R490" s="6"/>
      <c r="S490" s="6"/>
    </row>
    <row r="491" spans="1:19" s="29" customFormat="1" ht="15" customHeight="1" x14ac:dyDescent="0.15">
      <c r="A491" s="150" t="s">
        <v>83</v>
      </c>
      <c r="B491" s="154" t="s">
        <v>84</v>
      </c>
      <c r="C491" s="135"/>
      <c r="D491" s="61" t="s">
        <v>44</v>
      </c>
      <c r="E491" s="62"/>
      <c r="F491" s="63" t="s">
        <v>4</v>
      </c>
      <c r="G491" s="64">
        <f>SUM(G492:G494)</f>
        <v>168533000</v>
      </c>
      <c r="H491" s="83" t="s">
        <v>4</v>
      </c>
      <c r="I491" s="64">
        <f>SUM(I492:I494)</f>
        <v>0</v>
      </c>
      <c r="J491" s="82" t="s">
        <v>4</v>
      </c>
      <c r="K491" s="64">
        <f>SUM(K492:K494)</f>
        <v>0</v>
      </c>
      <c r="L491" s="82" t="s">
        <v>4</v>
      </c>
      <c r="M491" s="64">
        <f>SUM(M492:M494)</f>
        <v>0</v>
      </c>
      <c r="N491" s="82" t="s">
        <v>4</v>
      </c>
      <c r="O491" s="64">
        <f>SUM(O492:O494)</f>
        <v>0</v>
      </c>
      <c r="P491" s="27"/>
      <c r="Q491" s="27"/>
      <c r="R491" s="28"/>
      <c r="S491" s="28"/>
    </row>
    <row r="492" spans="1:19" s="29" customFormat="1" ht="15" customHeight="1" x14ac:dyDescent="0.15">
      <c r="A492" s="149"/>
      <c r="B492" s="152"/>
      <c r="C492" s="136"/>
      <c r="D492" s="57" t="s">
        <v>45</v>
      </c>
      <c r="E492" s="58">
        <v>800000</v>
      </c>
      <c r="F492" s="100" t="s">
        <v>5</v>
      </c>
      <c r="G492" s="18">
        <v>70207000</v>
      </c>
      <c r="H492" s="100" t="s">
        <v>5</v>
      </c>
      <c r="I492" s="18"/>
      <c r="J492" s="99" t="s">
        <v>5</v>
      </c>
      <c r="K492" s="19"/>
      <c r="L492" s="99" t="s">
        <v>5</v>
      </c>
      <c r="M492" s="19"/>
      <c r="N492" s="70" t="s">
        <v>5</v>
      </c>
      <c r="O492" s="71">
        <f>I492-K492-M492</f>
        <v>0</v>
      </c>
      <c r="P492" s="27"/>
      <c r="Q492" s="27"/>
      <c r="R492" s="28"/>
      <c r="S492" s="28"/>
    </row>
    <row r="493" spans="1:19" s="29" customFormat="1" ht="15" customHeight="1" x14ac:dyDescent="0.15">
      <c r="A493" s="150" t="s">
        <v>85</v>
      </c>
      <c r="B493" s="152" t="s">
        <v>86</v>
      </c>
      <c r="C493" s="136"/>
      <c r="D493" s="57" t="s">
        <v>46</v>
      </c>
      <c r="E493" s="58"/>
      <c r="F493" s="101" t="s">
        <v>17</v>
      </c>
      <c r="G493" s="18">
        <v>35103000</v>
      </c>
      <c r="H493" s="100" t="s">
        <v>17</v>
      </c>
      <c r="I493" s="18"/>
      <c r="J493" s="99" t="s">
        <v>17</v>
      </c>
      <c r="K493" s="19"/>
      <c r="L493" s="99" t="s">
        <v>17</v>
      </c>
      <c r="M493" s="19"/>
      <c r="N493" s="70" t="s">
        <v>17</v>
      </c>
      <c r="O493" s="71">
        <f>I493-K493-M493</f>
        <v>0</v>
      </c>
      <c r="P493" s="27"/>
      <c r="Q493" s="27"/>
      <c r="R493" s="28"/>
      <c r="S493" s="28"/>
    </row>
    <row r="494" spans="1:19" s="29" customFormat="1" ht="15" customHeight="1" x14ac:dyDescent="0.15">
      <c r="A494" s="149"/>
      <c r="B494" s="153"/>
      <c r="C494" s="137"/>
      <c r="D494" s="59" t="s">
        <v>47</v>
      </c>
      <c r="E494" s="60"/>
      <c r="F494" s="98" t="s">
        <v>18</v>
      </c>
      <c r="G494" s="20">
        <v>63223000</v>
      </c>
      <c r="H494" s="98" t="s">
        <v>18</v>
      </c>
      <c r="I494" s="20"/>
      <c r="J494" s="97" t="s">
        <v>18</v>
      </c>
      <c r="K494" s="21"/>
      <c r="L494" s="97" t="s">
        <v>18</v>
      </c>
      <c r="M494" s="21"/>
      <c r="N494" s="72" t="s">
        <v>18</v>
      </c>
      <c r="O494" s="73">
        <f>I494-K494-M494</f>
        <v>0</v>
      </c>
      <c r="P494" s="27"/>
      <c r="Q494" s="27"/>
      <c r="R494" s="28"/>
      <c r="S494" s="28"/>
    </row>
    <row r="495" spans="1:19" s="29" customFormat="1" ht="15" customHeight="1" x14ac:dyDescent="0.15">
      <c r="A495" s="150" t="s">
        <v>83</v>
      </c>
      <c r="B495" s="154" t="s">
        <v>202</v>
      </c>
      <c r="C495" s="135"/>
      <c r="D495" s="61" t="s">
        <v>44</v>
      </c>
      <c r="E495" s="62"/>
      <c r="F495" s="63" t="s">
        <v>4</v>
      </c>
      <c r="G495" s="64">
        <f>SUM(G496:G498)</f>
        <v>23538000</v>
      </c>
      <c r="H495" s="83" t="s">
        <v>4</v>
      </c>
      <c r="I495" s="64">
        <f>SUM(I496:I498)</f>
        <v>0</v>
      </c>
      <c r="J495" s="82" t="s">
        <v>4</v>
      </c>
      <c r="K495" s="64">
        <f>SUM(K496:K498)</f>
        <v>0</v>
      </c>
      <c r="L495" s="82" t="s">
        <v>4</v>
      </c>
      <c r="M495" s="64">
        <f>SUM(M496:M498)</f>
        <v>0</v>
      </c>
      <c r="N495" s="82" t="s">
        <v>4</v>
      </c>
      <c r="O495" s="64">
        <f>SUM(O496:O498)</f>
        <v>0</v>
      </c>
      <c r="P495" s="27"/>
      <c r="Q495" s="27"/>
      <c r="R495" s="28"/>
      <c r="S495" s="28"/>
    </row>
    <row r="496" spans="1:19" s="29" customFormat="1" ht="15" customHeight="1" x14ac:dyDescent="0.15">
      <c r="A496" s="149"/>
      <c r="B496" s="152"/>
      <c r="C496" s="136"/>
      <c r="D496" s="57" t="s">
        <v>45</v>
      </c>
      <c r="E496" s="58">
        <v>11900000</v>
      </c>
      <c r="F496" s="54" t="s">
        <v>5</v>
      </c>
      <c r="G496" s="78">
        <v>11203000</v>
      </c>
      <c r="H496" s="54" t="s">
        <v>5</v>
      </c>
      <c r="I496" s="78"/>
      <c r="J496" s="52" t="s">
        <v>5</v>
      </c>
      <c r="K496" s="78"/>
      <c r="L496" s="52" t="s">
        <v>5</v>
      </c>
      <c r="M496" s="79"/>
      <c r="N496" s="70" t="s">
        <v>5</v>
      </c>
      <c r="O496" s="71">
        <f>I496-K496-M496</f>
        <v>0</v>
      </c>
      <c r="P496" s="27"/>
      <c r="Q496" s="27"/>
      <c r="R496" s="28"/>
      <c r="S496" s="28"/>
    </row>
    <row r="497" spans="1:19" s="29" customFormat="1" ht="15" customHeight="1" x14ac:dyDescent="0.15">
      <c r="A497" s="150" t="s">
        <v>85</v>
      </c>
      <c r="B497" s="152" t="s">
        <v>86</v>
      </c>
      <c r="C497" s="136"/>
      <c r="D497" s="57" t="s">
        <v>46</v>
      </c>
      <c r="E497" s="58"/>
      <c r="F497" s="55" t="s">
        <v>17</v>
      </c>
      <c r="G497" s="78">
        <v>5602000</v>
      </c>
      <c r="H497" s="54" t="s">
        <v>17</v>
      </c>
      <c r="I497" s="78"/>
      <c r="J497" s="52" t="s">
        <v>17</v>
      </c>
      <c r="K497" s="79"/>
      <c r="L497" s="52" t="s">
        <v>17</v>
      </c>
      <c r="M497" s="79"/>
      <c r="N497" s="70" t="s">
        <v>17</v>
      </c>
      <c r="O497" s="71">
        <f>I497-K497-M497</f>
        <v>0</v>
      </c>
      <c r="P497" s="27"/>
      <c r="Q497" s="27"/>
      <c r="R497" s="28"/>
      <c r="S497" s="28"/>
    </row>
    <row r="498" spans="1:19" s="29" customFormat="1" ht="15" customHeight="1" x14ac:dyDescent="0.15">
      <c r="A498" s="149"/>
      <c r="B498" s="153"/>
      <c r="C498" s="137"/>
      <c r="D498" s="59" t="s">
        <v>47</v>
      </c>
      <c r="E498" s="60"/>
      <c r="F498" s="56" t="s">
        <v>18</v>
      </c>
      <c r="G498" s="80">
        <v>6733000</v>
      </c>
      <c r="H498" s="56" t="s">
        <v>18</v>
      </c>
      <c r="I498" s="80"/>
      <c r="J498" s="53" t="s">
        <v>18</v>
      </c>
      <c r="K498" s="81"/>
      <c r="L498" s="53" t="s">
        <v>18</v>
      </c>
      <c r="M498" s="81"/>
      <c r="N498" s="72" t="s">
        <v>18</v>
      </c>
      <c r="O498" s="73">
        <f>I498-K498-M498</f>
        <v>0</v>
      </c>
      <c r="P498" s="27"/>
      <c r="Q498" s="27"/>
      <c r="R498" s="28"/>
      <c r="S498" s="28"/>
    </row>
    <row r="499" spans="1:19" s="29" customFormat="1" ht="15" customHeight="1" x14ac:dyDescent="0.15">
      <c r="A499" s="150" t="s">
        <v>19</v>
      </c>
      <c r="B499" s="154" t="s">
        <v>20</v>
      </c>
      <c r="C499" s="135"/>
      <c r="D499" s="61" t="s">
        <v>16</v>
      </c>
      <c r="E499" s="62"/>
      <c r="F499" s="63" t="s">
        <v>4</v>
      </c>
      <c r="G499" s="64">
        <f>SUM(G500:G502)</f>
        <v>185550000</v>
      </c>
      <c r="H499" s="83" t="s">
        <v>4</v>
      </c>
      <c r="I499" s="64">
        <f>SUM(I500:I502)</f>
        <v>0</v>
      </c>
      <c r="J499" s="82" t="s">
        <v>4</v>
      </c>
      <c r="K499" s="64">
        <f>SUM(K500:K502)</f>
        <v>0</v>
      </c>
      <c r="L499" s="82" t="s">
        <v>4</v>
      </c>
      <c r="M499" s="64">
        <f>SUM(M500:M502)</f>
        <v>0</v>
      </c>
      <c r="N499" s="82" t="s">
        <v>4</v>
      </c>
      <c r="O499" s="64">
        <f>SUM(O500:O502)</f>
        <v>0</v>
      </c>
      <c r="P499" s="27"/>
      <c r="Q499" s="27"/>
      <c r="R499" s="28"/>
      <c r="S499" s="28"/>
    </row>
    <row r="500" spans="1:19" s="29" customFormat="1" ht="15" customHeight="1" x14ac:dyDescent="0.15">
      <c r="A500" s="149"/>
      <c r="B500" s="152"/>
      <c r="C500" s="136"/>
      <c r="D500" s="57" t="s">
        <v>45</v>
      </c>
      <c r="E500" s="58">
        <v>4000000</v>
      </c>
      <c r="F500" s="54" t="s">
        <v>5</v>
      </c>
      <c r="G500" s="78">
        <v>118598000</v>
      </c>
      <c r="H500" s="54" t="s">
        <v>5</v>
      </c>
      <c r="I500" s="78"/>
      <c r="J500" s="52" t="s">
        <v>5</v>
      </c>
      <c r="K500" s="78"/>
      <c r="L500" s="52" t="s">
        <v>5</v>
      </c>
      <c r="M500" s="79"/>
      <c r="N500" s="70" t="s">
        <v>5</v>
      </c>
      <c r="O500" s="71">
        <f>I500-K500-M500</f>
        <v>0</v>
      </c>
      <c r="P500" s="27"/>
      <c r="Q500" s="27"/>
      <c r="R500" s="28"/>
      <c r="S500" s="28"/>
    </row>
    <row r="501" spans="1:19" s="29" customFormat="1" ht="15" customHeight="1" x14ac:dyDescent="0.15">
      <c r="A501" s="150" t="s">
        <v>207</v>
      </c>
      <c r="B501" s="152" t="s">
        <v>86</v>
      </c>
      <c r="C501" s="136"/>
      <c r="D501" s="57" t="s">
        <v>15</v>
      </c>
      <c r="E501" s="58"/>
      <c r="F501" s="55" t="s">
        <v>17</v>
      </c>
      <c r="G501" s="18">
        <v>14825000</v>
      </c>
      <c r="H501" s="54" t="s">
        <v>17</v>
      </c>
      <c r="I501" s="18"/>
      <c r="J501" s="52" t="s">
        <v>17</v>
      </c>
      <c r="K501" s="18"/>
      <c r="L501" s="52" t="s">
        <v>17</v>
      </c>
      <c r="M501" s="79"/>
      <c r="N501" s="70" t="s">
        <v>17</v>
      </c>
      <c r="O501" s="71">
        <f>I501-K501-M501</f>
        <v>0</v>
      </c>
      <c r="P501" s="27"/>
      <c r="Q501" s="27"/>
      <c r="R501" s="28"/>
      <c r="S501" s="28"/>
    </row>
    <row r="502" spans="1:19" s="29" customFormat="1" ht="15" customHeight="1" x14ac:dyDescent="0.15">
      <c r="A502" s="149"/>
      <c r="B502" s="153"/>
      <c r="C502" s="137"/>
      <c r="D502" s="59" t="s">
        <v>47</v>
      </c>
      <c r="E502" s="60"/>
      <c r="F502" s="56" t="s">
        <v>18</v>
      </c>
      <c r="G502" s="80">
        <v>52127000</v>
      </c>
      <c r="H502" s="56" t="s">
        <v>18</v>
      </c>
      <c r="I502" s="80"/>
      <c r="J502" s="53" t="s">
        <v>18</v>
      </c>
      <c r="K502" s="81"/>
      <c r="L502" s="53" t="s">
        <v>18</v>
      </c>
      <c r="M502" s="81"/>
      <c r="N502" s="72" t="s">
        <v>18</v>
      </c>
      <c r="O502" s="73">
        <f>I502-K502-M502</f>
        <v>0</v>
      </c>
      <c r="P502" s="27"/>
      <c r="Q502" s="27"/>
      <c r="R502" s="28"/>
      <c r="S502" s="28"/>
    </row>
    <row r="503" spans="1:19" s="29" customFormat="1" ht="15" customHeight="1" x14ac:dyDescent="0.15">
      <c r="A503" s="166" t="s">
        <v>19</v>
      </c>
      <c r="B503" s="154" t="s">
        <v>20</v>
      </c>
      <c r="C503" s="135"/>
      <c r="D503" s="61" t="s">
        <v>16</v>
      </c>
      <c r="E503" s="62"/>
      <c r="F503" s="103" t="s">
        <v>4</v>
      </c>
      <c r="G503" s="104">
        <f>SUM(G504:G506)</f>
        <v>31288000</v>
      </c>
      <c r="H503" s="105"/>
      <c r="I503" s="104"/>
      <c r="J503" s="106"/>
      <c r="K503" s="104"/>
      <c r="L503" s="106"/>
      <c r="M503" s="104"/>
      <c r="N503" s="106" t="s">
        <v>4</v>
      </c>
      <c r="O503" s="104">
        <f>SUM(O504:O506)</f>
        <v>0</v>
      </c>
      <c r="P503" s="27"/>
      <c r="Q503" s="27"/>
      <c r="R503" s="28"/>
      <c r="S503" s="28"/>
    </row>
    <row r="504" spans="1:19" s="29" customFormat="1" ht="15" customHeight="1" x14ac:dyDescent="0.15">
      <c r="A504" s="159"/>
      <c r="B504" s="152"/>
      <c r="C504" s="136"/>
      <c r="D504" s="57" t="s">
        <v>45</v>
      </c>
      <c r="E504" s="58">
        <v>4000000</v>
      </c>
      <c r="F504" s="120" t="s">
        <v>5</v>
      </c>
      <c r="G504" s="121">
        <v>12180000</v>
      </c>
      <c r="H504" s="120"/>
      <c r="I504" s="121"/>
      <c r="J504" s="122"/>
      <c r="K504" s="121"/>
      <c r="L504" s="122"/>
      <c r="M504" s="123"/>
      <c r="N504" s="111" t="s">
        <v>5</v>
      </c>
      <c r="O504" s="112">
        <f>I504-K504-M504</f>
        <v>0</v>
      </c>
      <c r="P504" s="27"/>
      <c r="Q504" s="27"/>
      <c r="R504" s="28"/>
      <c r="S504" s="28"/>
    </row>
    <row r="505" spans="1:19" s="29" customFormat="1" ht="15" customHeight="1" x14ac:dyDescent="0.15">
      <c r="A505" s="166" t="s">
        <v>208</v>
      </c>
      <c r="B505" s="152" t="s">
        <v>86</v>
      </c>
      <c r="C505" s="136"/>
      <c r="D505" s="57" t="s">
        <v>15</v>
      </c>
      <c r="E505" s="58"/>
      <c r="F505" s="124" t="s">
        <v>17</v>
      </c>
      <c r="G505" s="108">
        <v>12180000</v>
      </c>
      <c r="H505" s="120"/>
      <c r="I505" s="108"/>
      <c r="J505" s="122"/>
      <c r="K505" s="108"/>
      <c r="L505" s="122"/>
      <c r="M505" s="123"/>
      <c r="N505" s="111" t="s">
        <v>17</v>
      </c>
      <c r="O505" s="112">
        <f>I505-K505-M505</f>
        <v>0</v>
      </c>
      <c r="P505" s="27"/>
      <c r="Q505" s="27"/>
      <c r="R505" s="28"/>
      <c r="S505" s="28"/>
    </row>
    <row r="506" spans="1:19" s="29" customFormat="1" ht="15" customHeight="1" x14ac:dyDescent="0.15">
      <c r="A506" s="159"/>
      <c r="B506" s="153"/>
      <c r="C506" s="137"/>
      <c r="D506" s="59" t="s">
        <v>47</v>
      </c>
      <c r="E506" s="60"/>
      <c r="F506" s="125" t="s">
        <v>18</v>
      </c>
      <c r="G506" s="126">
        <v>6928000</v>
      </c>
      <c r="H506" s="125"/>
      <c r="I506" s="126"/>
      <c r="J506" s="127"/>
      <c r="K506" s="128"/>
      <c r="L506" s="127"/>
      <c r="M506" s="128"/>
      <c r="N506" s="118" t="s">
        <v>18</v>
      </c>
      <c r="O506" s="119">
        <f>I506-K506-M506</f>
        <v>0</v>
      </c>
      <c r="P506" s="27"/>
      <c r="Q506" s="27"/>
      <c r="R506" s="28"/>
      <c r="S506" s="28"/>
    </row>
    <row r="507" spans="1:19" s="29" customFormat="1" ht="15" customHeight="1" x14ac:dyDescent="0.15">
      <c r="A507" s="166" t="s">
        <v>19</v>
      </c>
      <c r="B507" s="154" t="s">
        <v>210</v>
      </c>
      <c r="C507" s="135"/>
      <c r="D507" s="61" t="s">
        <v>16</v>
      </c>
      <c r="E507" s="62"/>
      <c r="F507" s="103" t="s">
        <v>4</v>
      </c>
      <c r="G507" s="104">
        <f>SUM(G508:G510)</f>
        <v>18636000</v>
      </c>
      <c r="H507" s="105" t="s">
        <v>4</v>
      </c>
      <c r="I507" s="104">
        <f>SUM(I508:I510)</f>
        <v>18636000</v>
      </c>
      <c r="J507" s="106" t="s">
        <v>4</v>
      </c>
      <c r="K507" s="104">
        <f>SUM(K508:K510)</f>
        <v>17791290</v>
      </c>
      <c r="L507" s="106" t="s">
        <v>4</v>
      </c>
      <c r="M507" s="104">
        <f>SUM(M508:M510)</f>
        <v>0</v>
      </c>
      <c r="N507" s="106" t="s">
        <v>4</v>
      </c>
      <c r="O507" s="104">
        <f>SUM(O508:O510)</f>
        <v>844710</v>
      </c>
      <c r="P507" s="27"/>
      <c r="Q507" s="27"/>
      <c r="R507" s="28"/>
      <c r="S507" s="28"/>
    </row>
    <row r="508" spans="1:19" s="29" customFormat="1" ht="15" customHeight="1" x14ac:dyDescent="0.15">
      <c r="A508" s="159"/>
      <c r="B508" s="152"/>
      <c r="C508" s="136"/>
      <c r="D508" s="57" t="s">
        <v>45</v>
      </c>
      <c r="E508" s="58">
        <v>4000000</v>
      </c>
      <c r="F508" s="120" t="s">
        <v>5</v>
      </c>
      <c r="G508" s="121">
        <v>13084000</v>
      </c>
      <c r="H508" s="120" t="s">
        <v>5</v>
      </c>
      <c r="I508" s="121">
        <v>13084000</v>
      </c>
      <c r="J508" s="122" t="s">
        <v>5</v>
      </c>
      <c r="K508" s="121">
        <v>13084000</v>
      </c>
      <c r="L508" s="122" t="s">
        <v>5</v>
      </c>
      <c r="M508" s="123"/>
      <c r="N508" s="111" t="s">
        <v>5</v>
      </c>
      <c r="O508" s="112">
        <f>I508-K508-M508</f>
        <v>0</v>
      </c>
      <c r="P508" s="27"/>
      <c r="Q508" s="27"/>
      <c r="R508" s="28"/>
      <c r="S508" s="28"/>
    </row>
    <row r="509" spans="1:19" s="29" customFormat="1" ht="15" customHeight="1" x14ac:dyDescent="0.15">
      <c r="A509" s="166" t="s">
        <v>209</v>
      </c>
      <c r="B509" s="152" t="s">
        <v>211</v>
      </c>
      <c r="C509" s="136"/>
      <c r="D509" s="57" t="s">
        <v>15</v>
      </c>
      <c r="E509" s="58"/>
      <c r="F509" s="124" t="s">
        <v>17</v>
      </c>
      <c r="G509" s="108">
        <v>1636000</v>
      </c>
      <c r="H509" s="120" t="s">
        <v>17</v>
      </c>
      <c r="I509" s="108">
        <v>1636000</v>
      </c>
      <c r="J509" s="122" t="s">
        <v>17</v>
      </c>
      <c r="K509" s="108">
        <v>1636000</v>
      </c>
      <c r="L509" s="122" t="s">
        <v>17</v>
      </c>
      <c r="M509" s="123"/>
      <c r="N509" s="111" t="s">
        <v>17</v>
      </c>
      <c r="O509" s="112">
        <f>I509-K509-M509</f>
        <v>0</v>
      </c>
      <c r="P509" s="27"/>
      <c r="Q509" s="27"/>
      <c r="R509" s="28"/>
      <c r="S509" s="28"/>
    </row>
    <row r="510" spans="1:19" s="29" customFormat="1" ht="15" customHeight="1" x14ac:dyDescent="0.15">
      <c r="A510" s="159"/>
      <c r="B510" s="153"/>
      <c r="C510" s="137"/>
      <c r="D510" s="59" t="s">
        <v>47</v>
      </c>
      <c r="E510" s="60"/>
      <c r="F510" s="125" t="s">
        <v>18</v>
      </c>
      <c r="G510" s="126">
        <v>3916000</v>
      </c>
      <c r="H510" s="125" t="s">
        <v>18</v>
      </c>
      <c r="I510" s="126">
        <v>3916000</v>
      </c>
      <c r="J510" s="127" t="s">
        <v>18</v>
      </c>
      <c r="K510" s="128">
        <v>3071290</v>
      </c>
      <c r="L510" s="127" t="s">
        <v>18</v>
      </c>
      <c r="M510" s="128"/>
      <c r="N510" s="118" t="s">
        <v>18</v>
      </c>
      <c r="O510" s="119">
        <f>I510-K510-M510</f>
        <v>844710</v>
      </c>
      <c r="P510" s="27"/>
      <c r="Q510" s="27"/>
      <c r="R510" s="28"/>
      <c r="S510" s="28"/>
    </row>
    <row r="511" spans="1:19" s="29" customFormat="1" ht="15" customHeight="1" x14ac:dyDescent="0.15">
      <c r="A511" s="166" t="s">
        <v>83</v>
      </c>
      <c r="B511" s="154" t="s">
        <v>212</v>
      </c>
      <c r="C511" s="135"/>
      <c r="D511" s="61" t="s">
        <v>44</v>
      </c>
      <c r="E511" s="62"/>
      <c r="F511" s="103" t="s">
        <v>4</v>
      </c>
      <c r="G511" s="104">
        <f>SUM(G512:G514)</f>
        <v>11567000</v>
      </c>
      <c r="H511" s="105" t="s">
        <v>4</v>
      </c>
      <c r="I511" s="104">
        <f>SUM(I512:I514)</f>
        <v>11567000</v>
      </c>
      <c r="J511" s="106" t="s">
        <v>4</v>
      </c>
      <c r="K511" s="104">
        <f>SUM(K512:K514)</f>
        <v>10335520</v>
      </c>
      <c r="L511" s="106" t="s">
        <v>4</v>
      </c>
      <c r="M511" s="104">
        <f>SUM(M512:M514)</f>
        <v>0</v>
      </c>
      <c r="N511" s="106" t="s">
        <v>4</v>
      </c>
      <c r="O511" s="104">
        <f>SUM(O512:O514)</f>
        <v>1231480</v>
      </c>
      <c r="P511" s="27"/>
      <c r="Q511" s="27"/>
      <c r="R511" s="28"/>
      <c r="S511" s="28"/>
    </row>
    <row r="512" spans="1:19" s="29" customFormat="1" ht="15" customHeight="1" x14ac:dyDescent="0.15">
      <c r="A512" s="159"/>
      <c r="B512" s="152"/>
      <c r="C512" s="136"/>
      <c r="D512" s="57" t="s">
        <v>45</v>
      </c>
      <c r="E512" s="58">
        <v>4000000</v>
      </c>
      <c r="F512" s="120" t="s">
        <v>5</v>
      </c>
      <c r="G512" s="121">
        <v>8480000</v>
      </c>
      <c r="H512" s="120" t="s">
        <v>5</v>
      </c>
      <c r="I512" s="121">
        <v>8480000</v>
      </c>
      <c r="J512" s="122" t="s">
        <v>5</v>
      </c>
      <c r="K512" s="121">
        <v>8268416</v>
      </c>
      <c r="L512" s="122" t="s">
        <v>5</v>
      </c>
      <c r="M512" s="123"/>
      <c r="N512" s="111" t="s">
        <v>5</v>
      </c>
      <c r="O512" s="112">
        <f>I512-K512-M512</f>
        <v>211584</v>
      </c>
      <c r="P512" s="27"/>
      <c r="Q512" s="27"/>
      <c r="R512" s="28"/>
      <c r="S512" s="28"/>
    </row>
    <row r="513" spans="1:19" s="29" customFormat="1" ht="15" customHeight="1" x14ac:dyDescent="0.15">
      <c r="A513" s="166" t="s">
        <v>209</v>
      </c>
      <c r="B513" s="152" t="s">
        <v>213</v>
      </c>
      <c r="C513" s="136"/>
      <c r="D513" s="57" t="s">
        <v>46</v>
      </c>
      <c r="E513" s="58"/>
      <c r="F513" s="124" t="s">
        <v>17</v>
      </c>
      <c r="G513" s="108">
        <v>1059000</v>
      </c>
      <c r="H513" s="120" t="s">
        <v>17</v>
      </c>
      <c r="I513" s="108">
        <v>1059000</v>
      </c>
      <c r="J513" s="122" t="s">
        <v>17</v>
      </c>
      <c r="K513" s="108">
        <v>1033552</v>
      </c>
      <c r="L513" s="122" t="s">
        <v>17</v>
      </c>
      <c r="M513" s="123"/>
      <c r="N513" s="111" t="s">
        <v>17</v>
      </c>
      <c r="O513" s="112">
        <f>I513-K513-M513</f>
        <v>25448</v>
      </c>
      <c r="P513" s="27"/>
      <c r="Q513" s="27"/>
      <c r="R513" s="28"/>
      <c r="S513" s="28"/>
    </row>
    <row r="514" spans="1:19" s="29" customFormat="1" ht="15" customHeight="1" x14ac:dyDescent="0.15">
      <c r="A514" s="159"/>
      <c r="B514" s="153"/>
      <c r="C514" s="137"/>
      <c r="D514" s="59" t="s">
        <v>47</v>
      </c>
      <c r="E514" s="60"/>
      <c r="F514" s="125" t="s">
        <v>18</v>
      </c>
      <c r="G514" s="126">
        <v>2028000</v>
      </c>
      <c r="H514" s="125" t="s">
        <v>18</v>
      </c>
      <c r="I514" s="126">
        <v>2028000</v>
      </c>
      <c r="J514" s="127" t="s">
        <v>18</v>
      </c>
      <c r="K514" s="128">
        <v>1033552</v>
      </c>
      <c r="L514" s="127" t="s">
        <v>18</v>
      </c>
      <c r="M514" s="128"/>
      <c r="N514" s="118" t="s">
        <v>18</v>
      </c>
      <c r="O514" s="119">
        <f>I514-K514-M514</f>
        <v>994448</v>
      </c>
      <c r="P514" s="27"/>
      <c r="Q514" s="27"/>
      <c r="R514" s="28"/>
      <c r="S514" s="28"/>
    </row>
  </sheetData>
  <mergeCells count="624">
    <mergeCell ref="A507:A508"/>
    <mergeCell ref="B507:B508"/>
    <mergeCell ref="C507:C510"/>
    <mergeCell ref="A509:A510"/>
    <mergeCell ref="B509:B510"/>
    <mergeCell ref="A499:A500"/>
    <mergeCell ref="B499:B500"/>
    <mergeCell ref="C499:C502"/>
    <mergeCell ref="A501:A502"/>
    <mergeCell ref="B501:B502"/>
    <mergeCell ref="A503:A504"/>
    <mergeCell ref="B503:B504"/>
    <mergeCell ref="C503:C506"/>
    <mergeCell ref="A505:A506"/>
    <mergeCell ref="B505:B506"/>
    <mergeCell ref="A471:A472"/>
    <mergeCell ref="B471:B472"/>
    <mergeCell ref="C471:C474"/>
    <mergeCell ref="A473:A474"/>
    <mergeCell ref="B473:B474"/>
    <mergeCell ref="A483:A484"/>
    <mergeCell ref="B483:B484"/>
    <mergeCell ref="C483:C486"/>
    <mergeCell ref="A485:A486"/>
    <mergeCell ref="B485:B486"/>
    <mergeCell ref="A479:A480"/>
    <mergeCell ref="B479:B480"/>
    <mergeCell ref="C479:C482"/>
    <mergeCell ref="A481:A482"/>
    <mergeCell ref="B481:B482"/>
    <mergeCell ref="A475:A476"/>
    <mergeCell ref="B475:B476"/>
    <mergeCell ref="C475:C478"/>
    <mergeCell ref="A477:A478"/>
    <mergeCell ref="B477:B478"/>
    <mergeCell ref="A463:A464"/>
    <mergeCell ref="B463:B464"/>
    <mergeCell ref="C463:C466"/>
    <mergeCell ref="A465:A466"/>
    <mergeCell ref="B465:B466"/>
    <mergeCell ref="A467:A468"/>
    <mergeCell ref="B467:B468"/>
    <mergeCell ref="C467:C470"/>
    <mergeCell ref="A469:A470"/>
    <mergeCell ref="B469:B470"/>
    <mergeCell ref="A455:A456"/>
    <mergeCell ref="B455:B456"/>
    <mergeCell ref="C455:C458"/>
    <mergeCell ref="A457:A458"/>
    <mergeCell ref="B457:B458"/>
    <mergeCell ref="A459:A460"/>
    <mergeCell ref="B459:B460"/>
    <mergeCell ref="C459:C462"/>
    <mergeCell ref="A461:A462"/>
    <mergeCell ref="B461:B462"/>
    <mergeCell ref="C443:C446"/>
    <mergeCell ref="A445:A446"/>
    <mergeCell ref="B445:B446"/>
    <mergeCell ref="A447:A448"/>
    <mergeCell ref="B447:B448"/>
    <mergeCell ref="C447:C450"/>
    <mergeCell ref="A449:A450"/>
    <mergeCell ref="B449:B450"/>
    <mergeCell ref="A451:A452"/>
    <mergeCell ref="B451:B452"/>
    <mergeCell ref="C451:C454"/>
    <mergeCell ref="A453:A454"/>
    <mergeCell ref="B453:B454"/>
    <mergeCell ref="A287:A288"/>
    <mergeCell ref="B287:B288"/>
    <mergeCell ref="A387:A388"/>
    <mergeCell ref="B387:B388"/>
    <mergeCell ref="C387:C390"/>
    <mergeCell ref="C395:C398"/>
    <mergeCell ref="A397:A398"/>
    <mergeCell ref="B397:B398"/>
    <mergeCell ref="C287:C290"/>
    <mergeCell ref="A289:A290"/>
    <mergeCell ref="B289:B290"/>
    <mergeCell ref="A303:A304"/>
    <mergeCell ref="B303:B304"/>
    <mergeCell ref="C303:C306"/>
    <mergeCell ref="A305:A306"/>
    <mergeCell ref="B305:B306"/>
    <mergeCell ref="A307:A308"/>
    <mergeCell ref="B307:B308"/>
    <mergeCell ref="C307:C310"/>
    <mergeCell ref="A299:A300"/>
    <mergeCell ref="B299:B300"/>
    <mergeCell ref="C299:C302"/>
    <mergeCell ref="A301:A302"/>
    <mergeCell ref="B301:B302"/>
    <mergeCell ref="B217:B218"/>
    <mergeCell ref="A219:A220"/>
    <mergeCell ref="B219:B220"/>
    <mergeCell ref="C219:C222"/>
    <mergeCell ref="A221:A222"/>
    <mergeCell ref="B221:B222"/>
    <mergeCell ref="A211:A212"/>
    <mergeCell ref="B211:B212"/>
    <mergeCell ref="C211:C214"/>
    <mergeCell ref="A213:A214"/>
    <mergeCell ref="B213:B214"/>
    <mergeCell ref="A215:A216"/>
    <mergeCell ref="B215:B216"/>
    <mergeCell ref="C215:C218"/>
    <mergeCell ref="A217:A218"/>
    <mergeCell ref="C91:C94"/>
    <mergeCell ref="A93:A94"/>
    <mergeCell ref="B93:B94"/>
    <mergeCell ref="A75:A76"/>
    <mergeCell ref="A207:A208"/>
    <mergeCell ref="B207:B208"/>
    <mergeCell ref="C207:C210"/>
    <mergeCell ref="A209:A210"/>
    <mergeCell ref="B209:B210"/>
    <mergeCell ref="B179:B180"/>
    <mergeCell ref="C179:C182"/>
    <mergeCell ref="A181:A182"/>
    <mergeCell ref="B181:B182"/>
    <mergeCell ref="A159:A160"/>
    <mergeCell ref="B159:B160"/>
    <mergeCell ref="C159:C162"/>
    <mergeCell ref="A161:A162"/>
    <mergeCell ref="B161:B162"/>
    <mergeCell ref="A163:C166"/>
    <mergeCell ref="A167:A168"/>
    <mergeCell ref="B167:B168"/>
    <mergeCell ref="C167:C170"/>
    <mergeCell ref="A169:A170"/>
    <mergeCell ref="B169:B170"/>
    <mergeCell ref="A15:A16"/>
    <mergeCell ref="B15:B16"/>
    <mergeCell ref="C15:C18"/>
    <mergeCell ref="A17:A18"/>
    <mergeCell ref="C67:C70"/>
    <mergeCell ref="A69:A70"/>
    <mergeCell ref="B69:B70"/>
    <mergeCell ref="A135:A136"/>
    <mergeCell ref="B135:B136"/>
    <mergeCell ref="C135:C138"/>
    <mergeCell ref="A137:A138"/>
    <mergeCell ref="B137:B138"/>
    <mergeCell ref="A83:A84"/>
    <mergeCell ref="B83:B84"/>
    <mergeCell ref="C83:C86"/>
    <mergeCell ref="A85:A86"/>
    <mergeCell ref="B85:B86"/>
    <mergeCell ref="A87:A88"/>
    <mergeCell ref="B87:B88"/>
    <mergeCell ref="C87:C90"/>
    <mergeCell ref="A89:A90"/>
    <mergeCell ref="B89:B90"/>
    <mergeCell ref="A91:A92"/>
    <mergeCell ref="B91:B92"/>
    <mergeCell ref="A47:A48"/>
    <mergeCell ref="B47:B48"/>
    <mergeCell ref="C47:C50"/>
    <mergeCell ref="A49:A50"/>
    <mergeCell ref="B49:B50"/>
    <mergeCell ref="N4:O6"/>
    <mergeCell ref="B5:B6"/>
    <mergeCell ref="A7:C10"/>
    <mergeCell ref="A11:C14"/>
    <mergeCell ref="A31:A32"/>
    <mergeCell ref="B31:B32"/>
    <mergeCell ref="C31:C34"/>
    <mergeCell ref="A33:A34"/>
    <mergeCell ref="J4:K6"/>
    <mergeCell ref="L4:M6"/>
    <mergeCell ref="A4:B4"/>
    <mergeCell ref="C4:C6"/>
    <mergeCell ref="D4:E6"/>
    <mergeCell ref="F4:G6"/>
    <mergeCell ref="H4:I6"/>
    <mergeCell ref="A35:A36"/>
    <mergeCell ref="B35:B36"/>
    <mergeCell ref="C35:C38"/>
    <mergeCell ref="A37:A38"/>
    <mergeCell ref="B33:B34"/>
    <mergeCell ref="A43:A44"/>
    <mergeCell ref="B43:B44"/>
    <mergeCell ref="C43:C46"/>
    <mergeCell ref="A45:A46"/>
    <mergeCell ref="B45:B46"/>
    <mergeCell ref="B37:B38"/>
    <mergeCell ref="A39:A40"/>
    <mergeCell ref="B39:B40"/>
    <mergeCell ref="C39:C42"/>
    <mergeCell ref="A41:A42"/>
    <mergeCell ref="B41:B42"/>
    <mergeCell ref="A171:A172"/>
    <mergeCell ref="B171:B172"/>
    <mergeCell ref="C171:C174"/>
    <mergeCell ref="A173:A174"/>
    <mergeCell ref="B173:B174"/>
    <mergeCell ref="A175:A176"/>
    <mergeCell ref="B175:B176"/>
    <mergeCell ref="B197:B198"/>
    <mergeCell ref="A197:A198"/>
    <mergeCell ref="C195:C198"/>
    <mergeCell ref="B195:B196"/>
    <mergeCell ref="A195:A196"/>
    <mergeCell ref="B205:B206"/>
    <mergeCell ref="A205:A206"/>
    <mergeCell ref="C203:C206"/>
    <mergeCell ref="B203:B204"/>
    <mergeCell ref="A203:A204"/>
    <mergeCell ref="A201:A202"/>
    <mergeCell ref="C199:C202"/>
    <mergeCell ref="B199:B200"/>
    <mergeCell ref="A199:A200"/>
    <mergeCell ref="B201:B202"/>
    <mergeCell ref="A511:A512"/>
    <mergeCell ref="B511:B512"/>
    <mergeCell ref="C511:C514"/>
    <mergeCell ref="A513:A514"/>
    <mergeCell ref="B513:B514"/>
    <mergeCell ref="A495:A496"/>
    <mergeCell ref="A315:A316"/>
    <mergeCell ref="B315:B316"/>
    <mergeCell ref="C315:C318"/>
    <mergeCell ref="A317:A318"/>
    <mergeCell ref="B317:B318"/>
    <mergeCell ref="A319:A320"/>
    <mergeCell ref="B319:B320"/>
    <mergeCell ref="C319:C322"/>
    <mergeCell ref="A321:A322"/>
    <mergeCell ref="B321:B322"/>
    <mergeCell ref="B495:B496"/>
    <mergeCell ref="C495:C498"/>
    <mergeCell ref="A497:A498"/>
    <mergeCell ref="B497:B498"/>
    <mergeCell ref="A389:A390"/>
    <mergeCell ref="B389:B390"/>
    <mergeCell ref="A487:C490"/>
    <mergeCell ref="A491:A492"/>
    <mergeCell ref="B491:B492"/>
    <mergeCell ref="C491:C494"/>
    <mergeCell ref="A493:A494"/>
    <mergeCell ref="B493:B494"/>
    <mergeCell ref="A331:A332"/>
    <mergeCell ref="B331:B332"/>
    <mergeCell ref="A327:A328"/>
    <mergeCell ref="B327:B328"/>
    <mergeCell ref="C327:C330"/>
    <mergeCell ref="A329:A330"/>
    <mergeCell ref="B329:B330"/>
    <mergeCell ref="A379:C382"/>
    <mergeCell ref="A383:A384"/>
    <mergeCell ref="B383:B384"/>
    <mergeCell ref="C383:C386"/>
    <mergeCell ref="A385:A386"/>
    <mergeCell ref="B385:B386"/>
    <mergeCell ref="A443:A444"/>
    <mergeCell ref="B443:B444"/>
    <mergeCell ref="A391:A392"/>
    <mergeCell ref="B391:B392"/>
    <mergeCell ref="C391:C394"/>
    <mergeCell ref="C331:C334"/>
    <mergeCell ref="A333:A334"/>
    <mergeCell ref="A251:A252"/>
    <mergeCell ref="B251:B252"/>
    <mergeCell ref="C251:C254"/>
    <mergeCell ref="A253:A254"/>
    <mergeCell ref="B253:B254"/>
    <mergeCell ref="A255:A256"/>
    <mergeCell ref="B255:B256"/>
    <mergeCell ref="C255:C258"/>
    <mergeCell ref="A257:A258"/>
    <mergeCell ref="B257:B258"/>
    <mergeCell ref="A247:A248"/>
    <mergeCell ref="B247:B248"/>
    <mergeCell ref="C247:C250"/>
    <mergeCell ref="A249:A250"/>
    <mergeCell ref="B249:B250"/>
    <mergeCell ref="A243:A244"/>
    <mergeCell ref="B243:B244"/>
    <mergeCell ref="C243:C246"/>
    <mergeCell ref="A245:A246"/>
    <mergeCell ref="B245:B246"/>
    <mergeCell ref="A225:A226"/>
    <mergeCell ref="B225:B226"/>
    <mergeCell ref="A239:A240"/>
    <mergeCell ref="B239:B240"/>
    <mergeCell ref="C239:C242"/>
    <mergeCell ref="A241:A242"/>
    <mergeCell ref="B241:B242"/>
    <mergeCell ref="A235:A236"/>
    <mergeCell ref="B235:B236"/>
    <mergeCell ref="C235:C238"/>
    <mergeCell ref="A237:A238"/>
    <mergeCell ref="B237:B238"/>
    <mergeCell ref="A231:A232"/>
    <mergeCell ref="B231:B232"/>
    <mergeCell ref="C231:C234"/>
    <mergeCell ref="A233:A234"/>
    <mergeCell ref="B233:B234"/>
    <mergeCell ref="A227:A228"/>
    <mergeCell ref="B227:B228"/>
    <mergeCell ref="C227:C230"/>
    <mergeCell ref="A229:A230"/>
    <mergeCell ref="B229:B230"/>
    <mergeCell ref="A283:A284"/>
    <mergeCell ref="B151:B152"/>
    <mergeCell ref="C151:C154"/>
    <mergeCell ref="A153:A154"/>
    <mergeCell ref="B153:B154"/>
    <mergeCell ref="A139:A140"/>
    <mergeCell ref="B139:B140"/>
    <mergeCell ref="C139:C142"/>
    <mergeCell ref="A141:A142"/>
    <mergeCell ref="A143:A144"/>
    <mergeCell ref="B143:B144"/>
    <mergeCell ref="C143:C146"/>
    <mergeCell ref="A145:A146"/>
    <mergeCell ref="B145:B146"/>
    <mergeCell ref="B149:B150"/>
    <mergeCell ref="B141:B142"/>
    <mergeCell ref="A147:A148"/>
    <mergeCell ref="B147:B148"/>
    <mergeCell ref="C147:C150"/>
    <mergeCell ref="A149:A150"/>
    <mergeCell ref="A151:A152"/>
    <mergeCell ref="A223:A224"/>
    <mergeCell ref="B223:B224"/>
    <mergeCell ref="C223:C226"/>
    <mergeCell ref="A295:A296"/>
    <mergeCell ref="B295:B296"/>
    <mergeCell ref="C295:C298"/>
    <mergeCell ref="A297:A298"/>
    <mergeCell ref="B297:B298"/>
    <mergeCell ref="A291:A292"/>
    <mergeCell ref="B291:B292"/>
    <mergeCell ref="C291:C294"/>
    <mergeCell ref="A293:A294"/>
    <mergeCell ref="B293:B294"/>
    <mergeCell ref="B275:B276"/>
    <mergeCell ref="C275:C278"/>
    <mergeCell ref="A277:A278"/>
    <mergeCell ref="B281:B282"/>
    <mergeCell ref="A263:A264"/>
    <mergeCell ref="A271:A272"/>
    <mergeCell ref="B271:B272"/>
    <mergeCell ref="C271:C274"/>
    <mergeCell ref="A273:A274"/>
    <mergeCell ref="B273:B274"/>
    <mergeCell ref="A279:A280"/>
    <mergeCell ref="B277:B278"/>
    <mergeCell ref="B263:B264"/>
    <mergeCell ref="C263:C266"/>
    <mergeCell ref="A265:A266"/>
    <mergeCell ref="B265:B266"/>
    <mergeCell ref="A267:A268"/>
    <mergeCell ref="B267:B268"/>
    <mergeCell ref="C267:C270"/>
    <mergeCell ref="A269:A270"/>
    <mergeCell ref="B269:B270"/>
    <mergeCell ref="A367:A368"/>
    <mergeCell ref="B367:B368"/>
    <mergeCell ref="C367:C370"/>
    <mergeCell ref="A369:A370"/>
    <mergeCell ref="B369:B370"/>
    <mergeCell ref="B259:B260"/>
    <mergeCell ref="C259:C262"/>
    <mergeCell ref="A261:A262"/>
    <mergeCell ref="B261:B262"/>
    <mergeCell ref="B313:B314"/>
    <mergeCell ref="B279:B280"/>
    <mergeCell ref="C279:C282"/>
    <mergeCell ref="A281:A282"/>
    <mergeCell ref="A311:A312"/>
    <mergeCell ref="B311:B312"/>
    <mergeCell ref="C311:C314"/>
    <mergeCell ref="A313:A314"/>
    <mergeCell ref="B283:B284"/>
    <mergeCell ref="A309:A310"/>
    <mergeCell ref="B309:B310"/>
    <mergeCell ref="C283:C286"/>
    <mergeCell ref="A285:A286"/>
    <mergeCell ref="B285:B286"/>
    <mergeCell ref="A275:A276"/>
    <mergeCell ref="A415:A416"/>
    <mergeCell ref="B415:B416"/>
    <mergeCell ref="C415:C418"/>
    <mergeCell ref="A417:A418"/>
    <mergeCell ref="B417:B418"/>
    <mergeCell ref="B333:B334"/>
    <mergeCell ref="A393:A394"/>
    <mergeCell ref="B393:B394"/>
    <mergeCell ref="A395:A396"/>
    <mergeCell ref="B395:B396"/>
    <mergeCell ref="A335:A336"/>
    <mergeCell ref="B335:B336"/>
    <mergeCell ref="C335:C338"/>
    <mergeCell ref="A337:A338"/>
    <mergeCell ref="B337:B338"/>
    <mergeCell ref="A339:A340"/>
    <mergeCell ref="B339:B340"/>
    <mergeCell ref="C339:C342"/>
    <mergeCell ref="A341:A342"/>
    <mergeCell ref="B341:B342"/>
    <mergeCell ref="A343:A344"/>
    <mergeCell ref="B343:B344"/>
    <mergeCell ref="C343:C346"/>
    <mergeCell ref="A345:A346"/>
    <mergeCell ref="A407:A408"/>
    <mergeCell ref="B407:B408"/>
    <mergeCell ref="C407:C410"/>
    <mergeCell ref="A409:A410"/>
    <mergeCell ref="B409:B410"/>
    <mergeCell ref="A411:A412"/>
    <mergeCell ref="B411:B412"/>
    <mergeCell ref="C411:C414"/>
    <mergeCell ref="A413:A414"/>
    <mergeCell ref="B413:B414"/>
    <mergeCell ref="B399:B400"/>
    <mergeCell ref="C399:C402"/>
    <mergeCell ref="A401:A402"/>
    <mergeCell ref="B401:B402"/>
    <mergeCell ref="A439:A440"/>
    <mergeCell ref="B439:B440"/>
    <mergeCell ref="C439:C442"/>
    <mergeCell ref="A441:A442"/>
    <mergeCell ref="B441:B442"/>
    <mergeCell ref="A403:A404"/>
    <mergeCell ref="B403:B404"/>
    <mergeCell ref="C403:C406"/>
    <mergeCell ref="A405:A406"/>
    <mergeCell ref="B405:B406"/>
    <mergeCell ref="A431:A432"/>
    <mergeCell ref="B431:B432"/>
    <mergeCell ref="C431:C434"/>
    <mergeCell ref="A433:A434"/>
    <mergeCell ref="B433:B434"/>
    <mergeCell ref="A427:A428"/>
    <mergeCell ref="B427:B428"/>
    <mergeCell ref="C427:C430"/>
    <mergeCell ref="A429:A430"/>
    <mergeCell ref="B425:B426"/>
    <mergeCell ref="A419:A420"/>
    <mergeCell ref="B419:B420"/>
    <mergeCell ref="C419:C422"/>
    <mergeCell ref="A421:A422"/>
    <mergeCell ref="A23:A24"/>
    <mergeCell ref="B23:B24"/>
    <mergeCell ref="C23:C26"/>
    <mergeCell ref="A25:A26"/>
    <mergeCell ref="B25:B26"/>
    <mergeCell ref="B345:B346"/>
    <mergeCell ref="A355:A356"/>
    <mergeCell ref="B355:B356"/>
    <mergeCell ref="C355:C358"/>
    <mergeCell ref="A357:A358"/>
    <mergeCell ref="B357:B358"/>
    <mergeCell ref="A347:A348"/>
    <mergeCell ref="B347:B348"/>
    <mergeCell ref="C347:C350"/>
    <mergeCell ref="A57:A58"/>
    <mergeCell ref="B57:B58"/>
    <mergeCell ref="A59:A60"/>
    <mergeCell ref="B59:B60"/>
    <mergeCell ref="C59:C62"/>
    <mergeCell ref="A399:A400"/>
    <mergeCell ref="A435:A436"/>
    <mergeCell ref="B435:B436"/>
    <mergeCell ref="C435:C438"/>
    <mergeCell ref="A437:A438"/>
    <mergeCell ref="B437:B438"/>
    <mergeCell ref="B421:B422"/>
    <mergeCell ref="A423:A424"/>
    <mergeCell ref="B423:B424"/>
    <mergeCell ref="C423:C426"/>
    <mergeCell ref="A425:A426"/>
    <mergeCell ref="B429:B430"/>
    <mergeCell ref="B17:B18"/>
    <mergeCell ref="A19:A20"/>
    <mergeCell ref="B19:B20"/>
    <mergeCell ref="C19:C22"/>
    <mergeCell ref="A21:A22"/>
    <mergeCell ref="B21:B22"/>
    <mergeCell ref="A71:A72"/>
    <mergeCell ref="B71:B72"/>
    <mergeCell ref="C71:C74"/>
    <mergeCell ref="A73:A74"/>
    <mergeCell ref="B73:B74"/>
    <mergeCell ref="A27:A28"/>
    <mergeCell ref="B27:B28"/>
    <mergeCell ref="C27:C30"/>
    <mergeCell ref="A29:A30"/>
    <mergeCell ref="B29:B30"/>
    <mergeCell ref="A51:A52"/>
    <mergeCell ref="B51:B52"/>
    <mergeCell ref="C51:C54"/>
    <mergeCell ref="A53:A54"/>
    <mergeCell ref="B53:B54"/>
    <mergeCell ref="A55:A56"/>
    <mergeCell ref="B55:B56"/>
    <mergeCell ref="C55:C58"/>
    <mergeCell ref="A61:A62"/>
    <mergeCell ref="B75:B76"/>
    <mergeCell ref="C75:C78"/>
    <mergeCell ref="A77:A78"/>
    <mergeCell ref="B77:B78"/>
    <mergeCell ref="A79:A80"/>
    <mergeCell ref="B79:B80"/>
    <mergeCell ref="C79:C82"/>
    <mergeCell ref="A81:A82"/>
    <mergeCell ref="B81:B82"/>
    <mergeCell ref="B61:B62"/>
    <mergeCell ref="A63:A64"/>
    <mergeCell ref="B63:B64"/>
    <mergeCell ref="C63:C66"/>
    <mergeCell ref="A65:A66"/>
    <mergeCell ref="B65:B66"/>
    <mergeCell ref="A67:A68"/>
    <mergeCell ref="B67:B68"/>
    <mergeCell ref="A95:A96"/>
    <mergeCell ref="B95:B96"/>
    <mergeCell ref="C95:C98"/>
    <mergeCell ref="A97:A98"/>
    <mergeCell ref="B97:B98"/>
    <mergeCell ref="A99:A100"/>
    <mergeCell ref="B99:B100"/>
    <mergeCell ref="C99:C102"/>
    <mergeCell ref="A101:A102"/>
    <mergeCell ref="B101:B102"/>
    <mergeCell ref="A103:A104"/>
    <mergeCell ref="B103:B104"/>
    <mergeCell ref="C103:C106"/>
    <mergeCell ref="A105:A106"/>
    <mergeCell ref="B105:B106"/>
    <mergeCell ref="A107:A108"/>
    <mergeCell ref="B107:B108"/>
    <mergeCell ref="C107:C110"/>
    <mergeCell ref="A109:A110"/>
    <mergeCell ref="B109:B110"/>
    <mergeCell ref="A111:A112"/>
    <mergeCell ref="B111:B112"/>
    <mergeCell ref="C111:C114"/>
    <mergeCell ref="A113:A114"/>
    <mergeCell ref="B113:B114"/>
    <mergeCell ref="A115:A116"/>
    <mergeCell ref="B115:B116"/>
    <mergeCell ref="C115:C118"/>
    <mergeCell ref="A117:A118"/>
    <mergeCell ref="B117:B118"/>
    <mergeCell ref="A119:A120"/>
    <mergeCell ref="B119:B120"/>
    <mergeCell ref="C119:C122"/>
    <mergeCell ref="A121:A122"/>
    <mergeCell ref="B121:B122"/>
    <mergeCell ref="A123:A124"/>
    <mergeCell ref="B123:B124"/>
    <mergeCell ref="C123:C126"/>
    <mergeCell ref="A125:A126"/>
    <mergeCell ref="B125:B126"/>
    <mergeCell ref="A127:A128"/>
    <mergeCell ref="B127:B128"/>
    <mergeCell ref="C127:C130"/>
    <mergeCell ref="A129:A130"/>
    <mergeCell ref="B129:B130"/>
    <mergeCell ref="A131:A132"/>
    <mergeCell ref="B131:B132"/>
    <mergeCell ref="C131:C134"/>
    <mergeCell ref="A133:A134"/>
    <mergeCell ref="B133:B134"/>
    <mergeCell ref="A155:A156"/>
    <mergeCell ref="B155:B156"/>
    <mergeCell ref="C155:C158"/>
    <mergeCell ref="A157:A158"/>
    <mergeCell ref="B157:B158"/>
    <mergeCell ref="A191:A192"/>
    <mergeCell ref="B191:B192"/>
    <mergeCell ref="C191:C194"/>
    <mergeCell ref="A193:A194"/>
    <mergeCell ref="B193:B194"/>
    <mergeCell ref="A183:A184"/>
    <mergeCell ref="B183:B184"/>
    <mergeCell ref="C183:C186"/>
    <mergeCell ref="A185:A186"/>
    <mergeCell ref="B185:B186"/>
    <mergeCell ref="A187:A188"/>
    <mergeCell ref="B187:B188"/>
    <mergeCell ref="C187:C190"/>
    <mergeCell ref="A189:A190"/>
    <mergeCell ref="B189:B190"/>
    <mergeCell ref="C175:C178"/>
    <mergeCell ref="A177:A178"/>
    <mergeCell ref="B177:B178"/>
    <mergeCell ref="A179:A180"/>
    <mergeCell ref="B359:B360"/>
    <mergeCell ref="C359:C362"/>
    <mergeCell ref="A361:A362"/>
    <mergeCell ref="B361:B362"/>
    <mergeCell ref="A363:A364"/>
    <mergeCell ref="B363:B364"/>
    <mergeCell ref="C363:C366"/>
    <mergeCell ref="A365:A366"/>
    <mergeCell ref="B365:B366"/>
    <mergeCell ref="A259:A260"/>
    <mergeCell ref="A371:A372"/>
    <mergeCell ref="B371:B372"/>
    <mergeCell ref="C371:C374"/>
    <mergeCell ref="A373:A374"/>
    <mergeCell ref="B373:B374"/>
    <mergeCell ref="A375:A376"/>
    <mergeCell ref="B375:B376"/>
    <mergeCell ref="C375:C378"/>
    <mergeCell ref="A377:A378"/>
    <mergeCell ref="B377:B378"/>
    <mergeCell ref="A349:A350"/>
    <mergeCell ref="B349:B350"/>
    <mergeCell ref="A351:A352"/>
    <mergeCell ref="B351:B352"/>
    <mergeCell ref="C351:C354"/>
    <mergeCell ref="A353:A354"/>
    <mergeCell ref="B353:B354"/>
    <mergeCell ref="A323:A324"/>
    <mergeCell ref="B323:B324"/>
    <mergeCell ref="C323:C326"/>
    <mergeCell ref="A325:A326"/>
    <mergeCell ref="B325:B326"/>
    <mergeCell ref="A359:A360"/>
  </mergeCells>
  <phoneticPr fontId="2" type="noConversion"/>
  <conditionalFormatting sqref="O58 O408:O410 O240:O242 O252:O254 O396:O398 O428:O430 O200:O202 O204:O206 O208:O210 O212:O214 O216:O218 O220:O222 O256:O258 O260:O262 O264:O266 O268:O270 O272:O274 O276:O278 O280:O282 O284:O286 O288:O290 O292:O294 O296:O298 O300:O302 O304:O306 O308:O310 O312:O314 O316:O318 O320:O322 O324:O326 O328:O330 O332:O334 O412:O414 O416:O418">
    <cfRule type="expression" dxfId="61" priority="68" stopIfTrue="1">
      <formula>O58&lt;0</formula>
    </cfRule>
  </conditionalFormatting>
  <conditionalFormatting sqref="O336:O338">
    <cfRule type="expression" dxfId="60" priority="67" stopIfTrue="1">
      <formula>O336&lt;0</formula>
    </cfRule>
  </conditionalFormatting>
  <conditionalFormatting sqref="O340:O342">
    <cfRule type="expression" dxfId="59" priority="66" stopIfTrue="1">
      <formula>O340&lt;0</formula>
    </cfRule>
  </conditionalFormatting>
  <conditionalFormatting sqref="O436:O438">
    <cfRule type="expression" dxfId="58" priority="62" stopIfTrue="1">
      <formula>O436&lt;0</formula>
    </cfRule>
  </conditionalFormatting>
  <conditionalFormatting sqref="O404:O406">
    <cfRule type="expression" dxfId="57" priority="64" stopIfTrue="1">
      <formula>O404&lt;0</formula>
    </cfRule>
  </conditionalFormatting>
  <conditionalFormatting sqref="O432:O434">
    <cfRule type="expression" dxfId="56" priority="63" stopIfTrue="1">
      <formula>O432&lt;0</formula>
    </cfRule>
  </conditionalFormatting>
  <conditionalFormatting sqref="O244:O246 O248:O250">
    <cfRule type="expression" dxfId="55" priority="59" stopIfTrue="1">
      <formula>O244&lt;0</formula>
    </cfRule>
  </conditionalFormatting>
  <conditionalFormatting sqref="O440:O442">
    <cfRule type="expression" dxfId="54" priority="61" stopIfTrue="1">
      <formula>O440&lt;0</formula>
    </cfRule>
  </conditionalFormatting>
  <conditionalFormatting sqref="O224:O226">
    <cfRule type="expression" dxfId="53" priority="60" stopIfTrue="1">
      <formula>O224&lt;0</formula>
    </cfRule>
  </conditionalFormatting>
  <conditionalFormatting sqref="O352:O354">
    <cfRule type="expression" dxfId="52" priority="56" stopIfTrue="1">
      <formula>O352&lt;0</formula>
    </cfRule>
  </conditionalFormatting>
  <conditionalFormatting sqref="O344:O346">
    <cfRule type="expression" dxfId="51" priority="58" stopIfTrue="1">
      <formula>O344&lt;0</formula>
    </cfRule>
  </conditionalFormatting>
  <conditionalFormatting sqref="O348:O350">
    <cfRule type="expression" dxfId="50" priority="57" stopIfTrue="1">
      <formula>O348&lt;0</formula>
    </cfRule>
  </conditionalFormatting>
  <conditionalFormatting sqref="O356:O358">
    <cfRule type="expression" dxfId="49" priority="55" stopIfTrue="1">
      <formula>O356&lt;0</formula>
    </cfRule>
  </conditionalFormatting>
  <conditionalFormatting sqref="O384:O386 O388:O390 O392:O394">
    <cfRule type="expression" dxfId="48" priority="54" stopIfTrue="1">
      <formula>O384&lt;0</formula>
    </cfRule>
  </conditionalFormatting>
  <conditionalFormatting sqref="O400:O402">
    <cfRule type="expression" dxfId="47" priority="53" stopIfTrue="1">
      <formula>O400&lt;0</formula>
    </cfRule>
  </conditionalFormatting>
  <conditionalFormatting sqref="O420:O422 O424:O426">
    <cfRule type="expression" dxfId="46" priority="52" stopIfTrue="1">
      <formula>O420&lt;0</formula>
    </cfRule>
  </conditionalFormatting>
  <conditionalFormatting sqref="O36:O38 O56:O57 O40:O42 O44:O46 O48:O50">
    <cfRule type="expression" dxfId="45" priority="51" stopIfTrue="1">
      <formula>O36&lt;0</formula>
    </cfRule>
  </conditionalFormatting>
  <conditionalFormatting sqref="O52:O54">
    <cfRule type="expression" dxfId="44" priority="50" stopIfTrue="1">
      <formula>O52&lt;0</formula>
    </cfRule>
  </conditionalFormatting>
  <conditionalFormatting sqref="O32:O34">
    <cfRule type="expression" dxfId="43" priority="49" stopIfTrue="1">
      <formula>O32&lt;0</formula>
    </cfRule>
  </conditionalFormatting>
  <conditionalFormatting sqref="O168:O170 O172:O174 O176:O178 O180:O182 O184:O186 O188:O190 O196:O198">
    <cfRule type="expression" dxfId="42" priority="48" stopIfTrue="1">
      <formula>O168&lt;0</formula>
    </cfRule>
  </conditionalFormatting>
  <conditionalFormatting sqref="O60:O62 O136:O138 O64:O66 O68:O70 O84:O86 O88:O90 O140:O142 O144:O146 O148:O150 O152:O154 O160:O162">
    <cfRule type="expression" dxfId="41" priority="47" stopIfTrue="1">
      <formula>O60&lt;0</formula>
    </cfRule>
  </conditionalFormatting>
  <conditionalFormatting sqref="O92:O94">
    <cfRule type="expression" dxfId="40" priority="46" stopIfTrue="1">
      <formula>O92&lt;0</formula>
    </cfRule>
  </conditionalFormatting>
  <conditionalFormatting sqref="O492:O494">
    <cfRule type="expression" dxfId="39" priority="45" stopIfTrue="1">
      <formula>O492&lt;0</formula>
    </cfRule>
  </conditionalFormatting>
  <conditionalFormatting sqref="O496:O498 O512:O514">
    <cfRule type="expression" dxfId="38" priority="44" stopIfTrue="1">
      <formula>O496&lt;0</formula>
    </cfRule>
  </conditionalFormatting>
  <conditionalFormatting sqref="O20:O22">
    <cfRule type="expression" dxfId="37" priority="41" stopIfTrue="1">
      <formula>O20&lt;0</formula>
    </cfRule>
  </conditionalFormatting>
  <conditionalFormatting sqref="O24:O26">
    <cfRule type="expression" dxfId="36" priority="42" stopIfTrue="1">
      <formula>O24&lt;0</formula>
    </cfRule>
  </conditionalFormatting>
  <conditionalFormatting sqref="O28:O30">
    <cfRule type="expression" dxfId="35" priority="36" stopIfTrue="1">
      <formula>O28&lt;0</formula>
    </cfRule>
  </conditionalFormatting>
  <conditionalFormatting sqref="O16:O18">
    <cfRule type="expression" dxfId="34" priority="40" stopIfTrue="1">
      <formula>O16&lt;0</formula>
    </cfRule>
  </conditionalFormatting>
  <conditionalFormatting sqref="O108:O110 O112:O114">
    <cfRule type="expression" dxfId="33" priority="33" stopIfTrue="1">
      <formula>O108&lt;0</formula>
    </cfRule>
  </conditionalFormatting>
  <conditionalFormatting sqref="O72:O74 O76:O78">
    <cfRule type="expression" dxfId="32" priority="35" stopIfTrue="1">
      <formula>O72&lt;0</formula>
    </cfRule>
  </conditionalFormatting>
  <conditionalFormatting sqref="O80:O82">
    <cfRule type="expression" dxfId="31" priority="34" stopIfTrue="1">
      <formula>O80&lt;0</formula>
    </cfRule>
  </conditionalFormatting>
  <conditionalFormatting sqref="O116:O118">
    <cfRule type="expression" dxfId="30" priority="32" stopIfTrue="1">
      <formula>O116&lt;0</formula>
    </cfRule>
  </conditionalFormatting>
  <conditionalFormatting sqref="O96:O98 O100:O102">
    <cfRule type="expression" dxfId="29" priority="31" stopIfTrue="1">
      <formula>O96&lt;0</formula>
    </cfRule>
  </conditionalFormatting>
  <conditionalFormatting sqref="O104:O106">
    <cfRule type="expression" dxfId="28" priority="30" stopIfTrue="1">
      <formula>O104&lt;0</formula>
    </cfRule>
  </conditionalFormatting>
  <conditionalFormatting sqref="O120:O122">
    <cfRule type="expression" dxfId="27" priority="29" stopIfTrue="1">
      <formula>O120&lt;0</formula>
    </cfRule>
  </conditionalFormatting>
  <conditionalFormatting sqref="O124:O126">
    <cfRule type="expression" dxfId="26" priority="28" stopIfTrue="1">
      <formula>O124&lt;0</formula>
    </cfRule>
  </conditionalFormatting>
  <conditionalFormatting sqref="O156:O158">
    <cfRule type="expression" dxfId="25" priority="25" stopIfTrue="1">
      <formula>O156&lt;0</formula>
    </cfRule>
  </conditionalFormatting>
  <conditionalFormatting sqref="O128:O130">
    <cfRule type="expression" dxfId="24" priority="27" stopIfTrue="1">
      <formula>O128&lt;0</formula>
    </cfRule>
  </conditionalFormatting>
  <conditionalFormatting sqref="O132:O134">
    <cfRule type="expression" dxfId="23" priority="26" stopIfTrue="1">
      <formula>O132&lt;0</formula>
    </cfRule>
  </conditionalFormatting>
  <conditionalFormatting sqref="O192:O194">
    <cfRule type="expression" dxfId="22" priority="24" stopIfTrue="1">
      <formula>O192&lt;0</formula>
    </cfRule>
  </conditionalFormatting>
  <conditionalFormatting sqref="O228:O230">
    <cfRule type="expression" dxfId="21" priority="21" stopIfTrue="1">
      <formula>O228&lt;0</formula>
    </cfRule>
  </conditionalFormatting>
  <conditionalFormatting sqref="O236:O238">
    <cfRule type="expression" dxfId="20" priority="23" stopIfTrue="1">
      <formula>O236&lt;0</formula>
    </cfRule>
  </conditionalFormatting>
  <conditionalFormatting sqref="O360:O362">
    <cfRule type="expression" dxfId="19" priority="20" stopIfTrue="1">
      <formula>O360&lt;0</formula>
    </cfRule>
  </conditionalFormatting>
  <conditionalFormatting sqref="O232:O234">
    <cfRule type="expression" dxfId="18" priority="22" stopIfTrue="1">
      <formula>O232&lt;0</formula>
    </cfRule>
  </conditionalFormatting>
  <conditionalFormatting sqref="O364:O366">
    <cfRule type="expression" dxfId="17" priority="19" stopIfTrue="1">
      <formula>O364&lt;0</formula>
    </cfRule>
  </conditionalFormatting>
  <conditionalFormatting sqref="O368:O370">
    <cfRule type="expression" dxfId="16" priority="18" stopIfTrue="1">
      <formula>O368&lt;0</formula>
    </cfRule>
  </conditionalFormatting>
  <conditionalFormatting sqref="O372:O374">
    <cfRule type="expression" dxfId="15" priority="17" stopIfTrue="1">
      <formula>O372&lt;0</formula>
    </cfRule>
  </conditionalFormatting>
  <conditionalFormatting sqref="O376:O378">
    <cfRule type="expression" dxfId="14" priority="16" stopIfTrue="1">
      <formula>O376&lt;0</formula>
    </cfRule>
  </conditionalFormatting>
  <conditionalFormatting sqref="O452:O454">
    <cfRule type="expression" dxfId="13" priority="12" stopIfTrue="1">
      <formula>O452&lt;0</formula>
    </cfRule>
  </conditionalFormatting>
  <conditionalFormatting sqref="O444:O446">
    <cfRule type="expression" dxfId="12" priority="14" stopIfTrue="1">
      <formula>O444&lt;0</formula>
    </cfRule>
  </conditionalFormatting>
  <conditionalFormatting sqref="O448:O450">
    <cfRule type="expression" dxfId="11" priority="13" stopIfTrue="1">
      <formula>O448&lt;0</formula>
    </cfRule>
  </conditionalFormatting>
  <conditionalFormatting sqref="O464:O466">
    <cfRule type="expression" dxfId="10" priority="9" stopIfTrue="1">
      <formula>O464&lt;0</formula>
    </cfRule>
  </conditionalFormatting>
  <conditionalFormatting sqref="O484:O486">
    <cfRule type="expression" dxfId="9" priority="6" stopIfTrue="1">
      <formula>O484&lt;0</formula>
    </cfRule>
  </conditionalFormatting>
  <conditionalFormatting sqref="O456:O458">
    <cfRule type="expression" dxfId="8" priority="11" stopIfTrue="1">
      <formula>O456&lt;0</formula>
    </cfRule>
  </conditionalFormatting>
  <conditionalFormatting sqref="O460:O462">
    <cfRule type="expression" dxfId="7" priority="10" stopIfTrue="1">
      <formula>O460&lt;0</formula>
    </cfRule>
  </conditionalFormatting>
  <conditionalFormatting sqref="O480:O482">
    <cfRule type="expression" dxfId="6" priority="5" stopIfTrue="1">
      <formula>O480&lt;0</formula>
    </cfRule>
  </conditionalFormatting>
  <conditionalFormatting sqref="O468:O470">
    <cfRule type="expression" dxfId="5" priority="8" stopIfTrue="1">
      <formula>O468&lt;0</formula>
    </cfRule>
  </conditionalFormatting>
  <conditionalFormatting sqref="O472:O474">
    <cfRule type="expression" dxfId="4" priority="7" stopIfTrue="1">
      <formula>O472&lt;0</formula>
    </cfRule>
  </conditionalFormatting>
  <conditionalFormatting sqref="O476:O478">
    <cfRule type="expression" dxfId="3" priority="4" stopIfTrue="1">
      <formula>O476&lt;0</formula>
    </cfRule>
  </conditionalFormatting>
  <conditionalFormatting sqref="O500:O502">
    <cfRule type="expression" dxfId="2" priority="3" stopIfTrue="1">
      <formula>O500&lt;0</formula>
    </cfRule>
  </conditionalFormatting>
  <conditionalFormatting sqref="O504:O506">
    <cfRule type="expression" dxfId="1" priority="2" stopIfTrue="1">
      <formula>O504&lt;0</formula>
    </cfRule>
  </conditionalFormatting>
  <conditionalFormatting sqref="O508:O510">
    <cfRule type="expression" dxfId="0" priority="1" stopIfTrue="1">
      <formula>O508&lt;0</formula>
    </cfRule>
  </conditionalFormatting>
  <pageMargins left="0.39370078740157483" right="0.15748031496062992" top="0.47244094488188981" bottom="0.27559055118110237" header="0.27559055118110237" footer="0.35433070866141736"/>
  <pageSetup paperSize="9" scale="71" fitToWidth="0" fitToHeight="0" orientation="landscape" r:id="rId1"/>
  <headerFooter alignWithMargins="0"/>
  <rowBreaks count="5" manualBreakCount="5">
    <brk id="54" max="16383" man="1"/>
    <brk id="142" max="16383" man="1"/>
    <brk id="406" max="16383" man="1"/>
    <brk id="454" max="16383" man="1"/>
    <brk id="486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보조금 작성방법</vt:lpstr>
      <vt:lpstr>복지정책과</vt:lpstr>
      <vt:lpstr>복지정책과!Print_Titles</vt:lpstr>
    </vt:vector>
  </TitlesOfParts>
  <Company>Customer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user</cp:lastModifiedBy>
  <cp:lastPrinted>2020-02-17T07:41:05Z</cp:lastPrinted>
  <dcterms:created xsi:type="dcterms:W3CDTF">2011-01-17T06:25:32Z</dcterms:created>
  <dcterms:modified xsi:type="dcterms:W3CDTF">2024-03-25T02:18:51Z</dcterms:modified>
</cp:coreProperties>
</file>